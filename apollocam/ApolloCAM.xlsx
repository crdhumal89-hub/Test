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ASHBOARD" sheetId="2" state="visible" r:id="rId2"/>
    <sheet name="PROPOSALS" sheetId="3" state="visible" r:id="rId3"/>
    <sheet name="LOADERS" sheetId="4" state="visible" r:id="rId4"/>
    <sheet name="SETTINGS" sheetId="5" state="visible" r:id="rId5"/>
    <sheet name="_DATA" sheetId="6" state="hidden" r:id="rId6"/>
    <sheet name="_AUDIT" sheetId="7" state="hidden" r:id="rId7"/>
  </sheets>
  <definedNames>
    <definedName name="AMBER_BUFFER">SETTINGS!$B$5</definedName>
    <definedName name="FX_RATES_TABLE">SETTINGS!$A$38:$C$40</definedName>
    <definedName name="FUND_MASTER_TABLE">SETTINGS!$A$17:$K$27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;($#,##0)"/>
    <numFmt numFmtId="166" formatCode="0.0&quot;%&quot;"/>
    <numFmt numFmtId="167" formatCode="0.0000"/>
    <numFmt numFmtId="168" formatCode="$#,##0.00"/>
  </numFmts>
  <fonts count="46">
    <font>
      <name val="Calibri"/>
      <family val="2"/>
      <color theme="1"/>
      <sz val="11"/>
      <scheme val="minor"/>
    </font>
    <font>
      <name val="Calibri"/>
      <b val="1"/>
      <color rgb="00C9A227"/>
      <sz val="28"/>
    </font>
    <font>
      <name val="Calibri"/>
      <color rgb="00F8F9FA"/>
      <sz val="13"/>
    </font>
    <font>
      <name val="Calibri"/>
      <color rgb="00C9A227"/>
      <sz val="10"/>
    </font>
    <font>
      <name val="Calibri"/>
      <b val="1"/>
      <color rgb="00991B1B"/>
      <sz val="9"/>
    </font>
    <font>
      <name val="Calibri"/>
      <b val="1"/>
      <color rgb="00991B1B"/>
      <sz val="26"/>
    </font>
    <font>
      <name val="Calibri"/>
      <b val="1"/>
      <color rgb="0092400E"/>
      <sz val="9"/>
    </font>
    <font>
      <name val="Calibri"/>
      <b val="1"/>
      <color rgb="0092400E"/>
      <sz val="26"/>
    </font>
    <font>
      <name val="Calibri"/>
      <b val="1"/>
      <color rgb="00065F46"/>
      <sz val="9"/>
    </font>
    <font>
      <name val="Calibri"/>
      <b val="1"/>
      <color rgb="00065F46"/>
      <sz val="26"/>
    </font>
    <font>
      <name val="Calibri"/>
      <b val="1"/>
      <color rgb="001E40AF"/>
      <sz val="9"/>
    </font>
    <font>
      <name val="Calibri"/>
      <b val="1"/>
      <color rgb="001E40AF"/>
      <sz val="26"/>
    </font>
    <font>
      <name val="Calibri"/>
      <b val="1"/>
      <color rgb="00FFFFFF"/>
      <sz val="12"/>
    </font>
    <font>
      <name val="Calibri"/>
      <b val="1"/>
      <color rgb="00C9A227"/>
      <sz val="10"/>
    </font>
    <font>
      <name val="Calibri"/>
      <b val="1"/>
      <color rgb="001E3A5F"/>
      <sz val="10"/>
    </font>
    <font>
      <name val="Calibri"/>
      <i val="1"/>
      <color rgb="0064748B"/>
      <sz val="10"/>
    </font>
    <font>
      <name val="Calibri"/>
      <color rgb="00334155"/>
      <sz val="9"/>
    </font>
    <font>
      <name val="Calibri"/>
      <b val="1"/>
      <color rgb="00FFFFFF"/>
      <sz val="10"/>
    </font>
    <font>
      <name val="Calibri"/>
      <b val="1"/>
      <color rgb="00991B1B"/>
      <sz val="11"/>
    </font>
    <font>
      <name val="Calibri"/>
      <color rgb="00334155"/>
      <sz val="10"/>
    </font>
    <font>
      <name val="Calibri"/>
      <i val="1"/>
      <color rgb="0064748B"/>
      <sz val="9"/>
    </font>
    <font>
      <name val="Calibri"/>
      <b val="1"/>
      <color rgb="0092400E"/>
      <sz val="11"/>
    </font>
    <font>
      <name val="Calibri"/>
      <b val="1"/>
      <color rgb="00065F46"/>
      <sz val="11"/>
    </font>
    <font>
      <name val="Calibri"/>
      <b val="1"/>
      <color rgb="001E40AF"/>
      <sz val="11"/>
    </font>
    <font>
      <name val="Calibri"/>
      <b val="1"/>
      <color rgb="00FFFFFF"/>
      <sz val="16"/>
    </font>
    <font>
      <name val="Calibri"/>
      <b val="1"/>
      <i val="1"/>
      <color rgb="00991B1B"/>
      <sz val="9"/>
    </font>
    <font>
      <name val="Calibri"/>
      <b val="1"/>
      <color rgb="00991B1B"/>
      <sz val="18"/>
    </font>
    <font>
      <name val="Calibri"/>
      <b val="1"/>
      <i val="1"/>
      <color rgb="0092400E"/>
      <sz val="9"/>
    </font>
    <font>
      <name val="Calibri"/>
      <b val="1"/>
      <color rgb="0092400E"/>
      <sz val="18"/>
    </font>
    <font>
      <name val="Calibri"/>
      <b val="1"/>
      <i val="1"/>
      <color rgb="00065F46"/>
      <sz val="9"/>
    </font>
    <font>
      <name val="Calibri"/>
      <b val="1"/>
      <color rgb="00065F46"/>
      <sz val="18"/>
    </font>
    <font>
      <name val="Calibri"/>
      <b val="1"/>
      <i val="1"/>
      <color rgb="001E40AF"/>
      <sz val="9"/>
    </font>
    <font>
      <name val="Calibri"/>
      <b val="1"/>
      <color rgb="001E40AF"/>
      <sz val="18"/>
    </font>
    <font>
      <name val="Calibri"/>
      <b val="1"/>
      <i val="1"/>
      <color rgb="001E3A5F"/>
      <sz val="9"/>
    </font>
    <font>
      <name val="Calibri"/>
      <b val="1"/>
      <color rgb="001E3A5F"/>
      <sz val="18"/>
    </font>
    <font>
      <name val="Calibri"/>
      <i val="1"/>
      <color rgb="0064748B"/>
      <sz val="8"/>
    </font>
    <font>
      <name val="Calibri"/>
      <b val="1"/>
      <color rgb="00334155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92400E"/>
      <sz val="10"/>
    </font>
    <font>
      <name val="Calibri"/>
      <b val="1"/>
      <color rgb="00FFFFFF"/>
      <sz val="14"/>
    </font>
    <font>
      <name val="Calibri"/>
      <b val="1"/>
      <color rgb="001E3A5F"/>
      <sz val="11"/>
    </font>
    <font>
      <name val="Calibri"/>
      <b val="1"/>
      <color rgb="00FFFFFF"/>
      <sz val="11"/>
    </font>
    <font>
      <name val="Calibri"/>
      <i val="1"/>
      <color rgb="0092400E"/>
      <sz val="9"/>
    </font>
    <font>
      <name val="Calibri"/>
      <b val="1"/>
      <color rgb="001E3A5F"/>
      <sz val="9"/>
    </font>
  </fonts>
  <fills count="12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E2E8F0"/>
      </patternFill>
    </fill>
  </fills>
  <borders count="11">
    <border>
      <left/>
      <right/>
      <top/>
      <bottom/>
      <diagonal/>
    </border>
    <border>
      <bottom style="medium">
        <color rgb="000F274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medium">
        <color rgb="00065F46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991B1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E40AF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92400E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3" fillId="3" borderId="2" applyAlignment="1" pivotButton="0" quotePrefix="0" xfId="0">
      <alignment horizontal="center" vertical="center"/>
    </xf>
    <xf numFmtId="0" fontId="0" fillId="3" borderId="0" pivotButton="0" quotePrefix="0" xfId="0"/>
    <xf numFmtId="0" fontId="14" fillId="8" borderId="2" pivotButton="0" quotePrefix="0" xfId="0"/>
    <xf numFmtId="0" fontId="0" fillId="8" borderId="0" pivotButton="0" quotePrefix="0" xfId="0"/>
    <xf numFmtId="0" fontId="15" fillId="8" borderId="2" pivotButton="0" quotePrefix="0" xfId="0"/>
    <xf numFmtId="0" fontId="16" fillId="8" borderId="2" applyAlignment="1" pivotButton="0" quotePrefix="0" xfId="0">
      <alignment horizontal="left" vertical="center" wrapText="1"/>
    </xf>
    <xf numFmtId="0" fontId="14" fillId="9" borderId="2" pivotButton="0" quotePrefix="0" xfId="0"/>
    <xf numFmtId="0" fontId="0" fillId="9" borderId="0" pivotButton="0" quotePrefix="0" xfId="0"/>
    <xf numFmtId="0" fontId="15" fillId="9" borderId="2" pivotButton="0" quotePrefix="0" xfId="0"/>
    <xf numFmtId="0" fontId="16" fillId="9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9" fillId="4" borderId="2" pivotButton="0" quotePrefix="0" xfId="0"/>
    <xf numFmtId="0" fontId="20" fillId="8" borderId="2" applyAlignment="1" pivotButton="0" quotePrefix="0" xfId="0">
      <alignment horizontal="left" vertical="center" wrapText="1"/>
    </xf>
    <xf numFmtId="0" fontId="21" fillId="5" borderId="2" applyAlignment="1" pivotButton="0" quotePrefix="0" xfId="0">
      <alignment horizontal="center" vertical="center"/>
    </xf>
    <xf numFmtId="0" fontId="19" fillId="5" borderId="2" pivotButton="0" quotePrefix="0" xfId="0"/>
    <xf numFmtId="0" fontId="22" fillId="6" borderId="2" applyAlignment="1" pivotButton="0" quotePrefix="0" xfId="0">
      <alignment horizontal="center" vertical="center"/>
    </xf>
    <xf numFmtId="0" fontId="19" fillId="6" borderId="2" pivotButton="0" quotePrefix="0" xfId="0"/>
    <xf numFmtId="0" fontId="23" fillId="7" borderId="2" applyAlignment="1" pivotButton="0" quotePrefix="0" xfId="0">
      <alignment horizontal="center" vertical="center"/>
    </xf>
    <xf numFmtId="0" fontId="19" fillId="7" borderId="2" pivotButton="0" quotePrefix="0" xfId="0"/>
    <xf numFmtId="0" fontId="12" fillId="10" borderId="0" applyAlignment="1" pivotButton="0" quotePrefix="0" xfId="0">
      <alignment horizontal="left" vertical="center"/>
    </xf>
    <xf numFmtId="0" fontId="19" fillId="8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9" fillId="9" borderId="2" pivotButton="0" quotePrefix="0" xfId="0"/>
    <xf numFmtId="0" fontId="24" fillId="2" borderId="0" applyAlignment="1" pivotButton="0" quotePrefix="0" xfId="0">
      <alignment horizontal="left" vertical="center"/>
    </xf>
    <xf numFmtId="0" fontId="25" fillId="4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9" fillId="6" borderId="2" applyAlignment="1" pivotButton="0" quotePrefix="0" xfId="0">
      <alignment horizontal="center" vertical="center"/>
    </xf>
    <xf numFmtId="0" fontId="31" fillId="7" borderId="2" applyAlignment="1" pivotButton="0" quotePrefix="0" xfId="0">
      <alignment horizontal="center" vertical="center"/>
    </xf>
    <xf numFmtId="0" fontId="33" fillId="8" borderId="2" applyAlignment="1" pivotButton="0" quotePrefix="0" xfId="0">
      <alignment horizontal="center" vertical="center"/>
    </xf>
    <xf numFmtId="0" fontId="26" fillId="4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center" vertical="center"/>
    </xf>
    <xf numFmtId="0" fontId="30" fillId="6" borderId="2" applyAlignment="1" pivotButton="0" quotePrefix="0" xfId="0">
      <alignment horizontal="center" vertical="center"/>
    </xf>
    <xf numFmtId="0" fontId="32" fillId="7" borderId="2" applyAlignment="1" pivotButton="0" quotePrefix="0" xfId="0">
      <alignment horizontal="center" vertical="center"/>
    </xf>
    <xf numFmtId="164" fontId="34" fillId="8" borderId="2" applyAlignment="1" pivotButton="0" quotePrefix="0" xfId="0">
      <alignment horizontal="center" vertical="center"/>
    </xf>
    <xf numFmtId="0" fontId="34" fillId="8" borderId="2" applyAlignment="1" pivotButton="0" quotePrefix="0" xfId="0">
      <alignment horizontal="center" vertical="center"/>
    </xf>
    <xf numFmtId="0" fontId="35" fillId="11" borderId="0" pivotButton="0" quotePrefix="0" xfId="0"/>
    <xf numFmtId="0" fontId="17" fillId="3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/>
    </xf>
    <xf numFmtId="164" fontId="36" fillId="8" borderId="2" applyAlignment="1" pivotButton="0" quotePrefix="0" xfId="0">
      <alignment horizontal="right" vertical="center"/>
    </xf>
    <xf numFmtId="164" fontId="19" fillId="8" borderId="2" applyAlignment="1" pivotButton="0" quotePrefix="0" xfId="0">
      <alignment horizontal="right" vertical="center"/>
    </xf>
    <xf numFmtId="0" fontId="37" fillId="6" borderId="7" applyAlignment="1" pivotButton="0" quotePrefix="0" xfId="0">
      <alignment horizontal="center" vertical="center"/>
    </xf>
    <xf numFmtId="165" fontId="37" fillId="8" borderId="2" applyAlignment="1" pivotButton="0" quotePrefix="0" xfId="0">
      <alignment horizontal="right" vertical="center"/>
    </xf>
    <xf numFmtId="166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left" vertical="center"/>
    </xf>
    <xf numFmtId="0" fontId="19" fillId="9" borderId="2" applyAlignment="1" pivotButton="0" quotePrefix="0" xfId="0">
      <alignment horizontal="left" vertical="center"/>
    </xf>
    <xf numFmtId="164" fontId="36" fillId="9" borderId="2" applyAlignment="1" pivotButton="0" quotePrefix="0" xfId="0">
      <alignment horizontal="right" vertical="center"/>
    </xf>
    <xf numFmtId="164" fontId="19" fillId="9" borderId="2" applyAlignment="1" pivotButton="0" quotePrefix="0" xfId="0">
      <alignment horizontal="right" vertical="center"/>
    </xf>
    <xf numFmtId="165" fontId="37" fillId="9" borderId="2" applyAlignment="1" pivotButton="0" quotePrefix="0" xfId="0">
      <alignment horizontal="right" vertical="center"/>
    </xf>
    <xf numFmtId="166" fontId="19" fillId="9" borderId="2" applyAlignment="1" pivotButton="0" quotePrefix="0" xfId="0">
      <alignment horizontal="center" vertical="center"/>
    </xf>
    <xf numFmtId="0" fontId="20" fillId="9" borderId="2" applyAlignment="1" pivotButton="0" quotePrefix="0" xfId="0">
      <alignment horizontal="left" vertical="center"/>
    </xf>
    <xf numFmtId="164" fontId="38" fillId="8" borderId="2" applyAlignment="1" pivotButton="0" quotePrefix="0" xfId="0">
      <alignment horizontal="right" vertical="center"/>
    </xf>
    <xf numFmtId="0" fontId="38" fillId="4" borderId="8" applyAlignment="1" pivotButton="0" quotePrefix="0" xfId="0">
      <alignment horizontal="center" vertical="center"/>
    </xf>
    <xf numFmtId="165" fontId="38" fillId="8" borderId="2" applyAlignment="1" pivotButton="0" quotePrefix="0" xfId="0">
      <alignment horizontal="right" vertical="center"/>
    </xf>
    <xf numFmtId="0" fontId="39" fillId="7" borderId="9" applyAlignment="1" pivotButton="0" quotePrefix="0" xfId="0">
      <alignment horizontal="center" vertical="center"/>
    </xf>
    <xf numFmtId="164" fontId="38" fillId="9" borderId="2" applyAlignment="1" pivotButton="0" quotePrefix="0" xfId="0">
      <alignment horizontal="right" vertical="center"/>
    </xf>
    <xf numFmtId="165" fontId="38" fillId="9" borderId="2" applyAlignment="1" pivotButton="0" quotePrefix="0" xfId="0">
      <alignment horizontal="right" vertical="center"/>
    </xf>
    <xf numFmtId="0" fontId="40" fillId="5" borderId="10" applyAlignment="1" pivotButton="0" quotePrefix="0" xfId="0">
      <alignment horizontal="center" vertical="center"/>
    </xf>
    <xf numFmtId="0" fontId="17" fillId="3" borderId="2" pivotButton="0" quotePrefix="0" xfId="0"/>
    <xf numFmtId="0" fontId="0" fillId="3" borderId="2" pivotButton="0" quotePrefix="0" xfId="0"/>
    <xf numFmtId="164" fontId="17" fillId="3" borderId="2" applyAlignment="1" pivotButton="0" quotePrefix="0" xfId="0">
      <alignment horizontal="right" vertical="center"/>
    </xf>
    <xf numFmtId="0" fontId="41" fillId="2" borderId="0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164" fontId="42" fillId="8" borderId="2" applyAlignment="1" pivotButton="0" quotePrefix="0" xfId="0">
      <alignment horizontal="right" vertical="center"/>
    </xf>
    <xf numFmtId="0" fontId="37" fillId="6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164" fontId="42" fillId="9" borderId="2" applyAlignment="1" pivotButton="0" quotePrefix="0" xfId="0">
      <alignment horizontal="right" vertical="center"/>
    </xf>
    <xf numFmtId="164" fontId="43" fillId="3" borderId="2" applyAlignment="1" pivotButton="0" quotePrefix="0" xfId="0">
      <alignment horizontal="right" vertical="center"/>
    </xf>
    <xf numFmtId="3" fontId="19" fillId="8" borderId="2" applyAlignment="1" pivotButton="0" quotePrefix="0" xfId="0">
      <alignment horizontal="right" vertical="center"/>
    </xf>
    <xf numFmtId="167" fontId="19" fillId="8" borderId="2" applyAlignment="1" pivotButton="0" quotePrefix="0" xfId="0">
      <alignment horizontal="right" vertical="center"/>
    </xf>
    <xf numFmtId="164" fontId="14" fillId="8" borderId="2" applyAlignment="1" pivotButton="0" quotePrefix="0" xfId="0">
      <alignment horizontal="right" vertical="center"/>
    </xf>
    <xf numFmtId="3" fontId="19" fillId="9" borderId="2" applyAlignment="1" pivotButton="0" quotePrefix="0" xfId="0">
      <alignment horizontal="right" vertical="center"/>
    </xf>
    <xf numFmtId="167" fontId="19" fillId="9" borderId="2" applyAlignment="1" pivotButton="0" quotePrefix="0" xfId="0">
      <alignment horizontal="right" vertical="center"/>
    </xf>
    <xf numFmtId="164" fontId="14" fillId="9" borderId="2" applyAlignment="1" pivotButton="0" quotePrefix="0" xfId="0">
      <alignment horizontal="right" vertical="center"/>
    </xf>
    <xf numFmtId="0" fontId="44" fillId="5" borderId="0" pivotButton="0" quotePrefix="0" xfId="0"/>
    <xf numFmtId="0" fontId="16" fillId="8" borderId="2" pivotButton="0" quotePrefix="0" xfId="0"/>
    <xf numFmtId="0" fontId="16" fillId="9" borderId="2" pivotButton="0" quotePrefix="0" xfId="0"/>
    <xf numFmtId="164" fontId="4" fillId="8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3" fontId="45" fillId="8" borderId="2" applyAlignment="1" pivotButton="0" quotePrefix="0" xfId="0">
      <alignment horizontal="right" vertical="center"/>
    </xf>
    <xf numFmtId="167" fontId="16" fillId="8" borderId="2" pivotButton="0" quotePrefix="0" xfId="0"/>
    <xf numFmtId="3" fontId="45" fillId="9" borderId="2" applyAlignment="1" pivotButton="0" quotePrefix="0" xfId="0">
      <alignment horizontal="right" vertical="center"/>
    </xf>
    <xf numFmtId="167" fontId="16" fillId="9" borderId="2" pivotButton="0" quotePrefix="0" xfId="0"/>
    <xf numFmtId="0" fontId="43" fillId="3" borderId="0" applyAlignment="1" pivotButton="0" quotePrefix="0" xfId="0">
      <alignment horizontal="left" vertical="center"/>
    </xf>
    <xf numFmtId="0" fontId="20" fillId="8" borderId="2" pivotButton="0" quotePrefix="0" xfId="0"/>
    <xf numFmtId="0" fontId="20" fillId="9" borderId="2" pivotButton="0" quotePrefix="0" xfId="0"/>
    <xf numFmtId="0" fontId="16" fillId="8" borderId="2" applyAlignment="1" pivotButton="0" quotePrefix="0" xfId="0">
      <alignment horizontal="left" vertical="center"/>
    </xf>
    <xf numFmtId="164" fontId="16" fillId="8" borderId="2" applyAlignment="1" pivotButton="0" quotePrefix="0" xfId="0">
      <alignment horizontal="right" vertical="center"/>
    </xf>
    <xf numFmtId="0" fontId="16" fillId="9" borderId="2" applyAlignment="1" pivotButton="0" quotePrefix="0" xfId="0">
      <alignment horizontal="left" vertical="center"/>
    </xf>
    <xf numFmtId="164" fontId="16" fillId="9" borderId="2" applyAlignment="1" pivotButton="0" quotePrefix="0" xfId="0">
      <alignment horizontal="right" vertical="center"/>
    </xf>
    <xf numFmtId="3" fontId="16" fillId="8" borderId="2" applyAlignment="1" pivotButton="0" quotePrefix="0" xfId="0">
      <alignment horizontal="right" vertical="center"/>
    </xf>
    <xf numFmtId="3" fontId="16" fillId="9" borderId="2" applyAlignment="1" pivotButton="0" quotePrefix="0" xfId="0">
      <alignment horizontal="right" vertical="center"/>
    </xf>
    <xf numFmtId="167" fontId="19" fillId="8" borderId="2" applyAlignment="1" pivotButton="0" quotePrefix="0" xfId="0">
      <alignment horizontal="center" vertical="center"/>
    </xf>
    <xf numFmtId="167" fontId="19" fillId="9" borderId="2" applyAlignment="1" pivotButton="0" quotePrefix="0" xfId="0">
      <alignment horizontal="center" vertical="center"/>
    </xf>
    <xf numFmtId="0" fontId="12" fillId="2" borderId="0" pivotButton="0" quotePrefix="0" xfId="0"/>
    <xf numFmtId="0" fontId="20" fillId="0" borderId="0" pivotButton="0" quotePrefix="0" xfId="0"/>
    <xf numFmtId="4" fontId="16" fillId="8" borderId="2" applyAlignment="1" pivotButton="0" quotePrefix="0" xfId="0">
      <alignment horizontal="right" vertical="center"/>
    </xf>
    <xf numFmtId="167" fontId="16" fillId="8" borderId="2" applyAlignment="1" pivotButton="0" quotePrefix="0" xfId="0">
      <alignment horizontal="right" vertical="center"/>
    </xf>
    <xf numFmtId="168" fontId="16" fillId="8" borderId="2" applyAlignment="1" pivotButton="0" quotePrefix="0" xfId="0">
      <alignment horizontal="right" vertical="center"/>
    </xf>
    <xf numFmtId="4" fontId="16" fillId="9" borderId="2" applyAlignment="1" pivotButton="0" quotePrefix="0" xfId="0">
      <alignment horizontal="right" vertical="center"/>
    </xf>
    <xf numFmtId="167" fontId="16" fillId="9" borderId="2" applyAlignment="1" pivotButton="0" quotePrefix="0" xfId="0">
      <alignment horizontal="right" vertical="center"/>
    </xf>
    <xf numFmtId="168" fontId="16" fillId="9" borderId="2" applyAlignment="1" pivotButton="0" quotePrefix="0" xfId="0">
      <alignment horizontal="right" vertical="center"/>
    </xf>
    <xf numFmtId="0" fontId="0" fillId="8" borderId="2" pivotButton="0" quotePrefix="0" xfId="0"/>
    <xf numFmtId="167" fontId="20" fillId="8" borderId="2" pivotButton="0" quotePrefix="0" xfId="0"/>
    <xf numFmtId="168" fontId="20" fillId="8" borderId="2" pivotButton="0" quotePrefix="0" xfId="0"/>
    <xf numFmtId="0" fontId="0" fillId="9" borderId="2" pivotButton="0" quotePrefix="0" xfId="0"/>
    <xf numFmtId="167" fontId="20" fillId="9" borderId="2" pivotButton="0" quotePrefix="0" xfId="0"/>
    <xf numFmtId="168" fontId="20" fillId="9" borderId="2" pivotButton="0" quotePrefix="0" xfId="0"/>
    <xf numFmtId="0" fontId="45" fillId="8" borderId="2" pivotButton="0" quotePrefix="0" xfId="0"/>
    <xf numFmtId="0" fontId="45" fillId="9" borderId="2" pivotButton="0" quotePrefix="0" xfId="0"/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" customWidth="1" min="2" max="2"/>
    <col width="18" customWidth="1" min="3" max="3"/>
    <col width="2" customWidth="1" min="4" max="4"/>
    <col width="18" customWidth="1" min="5" max="5"/>
    <col width="2" customWidth="1" min="6" max="6"/>
    <col width="18" customWidth="1" min="7" max="7"/>
    <col width="18" customWidth="1" min="8" max="8"/>
  </cols>
  <sheetData>
    <row r="1" ht="60" customHeight="1">
      <c r="A1" s="1" t="inlineStr">
        <is>
          <t>ApolloCAM</t>
        </is>
      </c>
    </row>
    <row r="2" ht="30" customHeight="1">
      <c r="A2" s="2" t="inlineStr">
        <is>
          <t>Daily Cash Management  ·  Apollo Aligned Alternatives  ·  Mumbai Fund Controllership</t>
        </is>
      </c>
    </row>
    <row r="3" ht="24" customHeight="1">
      <c r="A3" s="3" t="inlineStr">
        <is>
          <t>As-of: 2026-06-01  ·  11 Funds  ·  ~$15.9B AUM  ·  Controller: A. Shinde</t>
        </is>
      </c>
    </row>
    <row r="4" ht="10" customHeight="1"/>
    <row r="5" ht="24" customHeight="1">
      <c r="A5" s="4" t="inlineStr">
        <is>
          <t>RED Funds</t>
        </is>
      </c>
      <c r="C5" s="5" t="inlineStr">
        <is>
          <t>AMBER Funds</t>
        </is>
      </c>
      <c r="E5" s="6" t="inlineStr">
        <is>
          <t>GREEN Funds</t>
        </is>
      </c>
      <c r="G5" s="7" t="inlineStr">
        <is>
          <t>BLUE (Excess)</t>
        </is>
      </c>
    </row>
    <row r="6" ht="36" customHeight="1">
      <c r="A6" s="8" t="inlineStr">
        <is>
          <t>3</t>
        </is>
      </c>
      <c r="C6" s="9" t="inlineStr">
        <is>
          <t>2</t>
        </is>
      </c>
      <c r="E6" s="10" t="inlineStr">
        <is>
          <t>4</t>
        </is>
      </c>
      <c r="G6" s="11" t="inlineStr">
        <is>
          <t>2</t>
        </is>
      </c>
    </row>
    <row r="7" ht="10" customHeight="1"/>
    <row r="8" ht="8" customHeight="1"/>
    <row r="9" ht="20" customHeight="1">
      <c r="A9" s="12" t="inlineStr">
        <is>
          <t>DAILY WORKFLOW  —  Navigate using the sheet tabs below</t>
        </is>
      </c>
    </row>
    <row r="10" ht="20" customHeight="1">
      <c r="A10" s="13" t="inlineStr">
        <is>
          <t>STEP 1</t>
        </is>
      </c>
      <c r="B10" s="14" t="inlineStr">
        <is>
          <t> </t>
        </is>
      </c>
      <c r="C10" s="15" t="inlineStr">
        <is>
          <t>Import Positions</t>
        </is>
      </c>
      <c r="D10" s="16" t="inlineStr">
        <is>
          <t> </t>
        </is>
      </c>
      <c r="E10" s="17" t="inlineStr">
        <is>
          <t>_DATA sheet</t>
        </is>
      </c>
      <c r="F10" s="16" t="inlineStr">
        <is>
          <t> </t>
        </is>
      </c>
      <c r="G10" s="18" t="inlineStr">
        <is>
          <t>Paste daily JPM file into _DATA rows 4-50, or use VBA Load Data button</t>
        </is>
      </c>
    </row>
    <row r="11" ht="20" customHeight="1">
      <c r="A11" s="13" t="inlineStr">
        <is>
          <t>STEP 2</t>
        </is>
      </c>
      <c r="B11" s="14" t="inlineStr">
        <is>
          <t> </t>
        </is>
      </c>
      <c r="C11" s="19" t="inlineStr">
        <is>
          <t>Review Status</t>
        </is>
      </c>
      <c r="D11" s="20" t="inlineStr">
        <is>
          <t> </t>
        </is>
      </c>
      <c r="E11" s="21" t="inlineStr">
        <is>
          <t>DASHBOARD</t>
        </is>
      </c>
      <c r="F11" s="20" t="inlineStr">
        <is>
          <t> </t>
        </is>
      </c>
      <c r="G11" s="22" t="inlineStr">
        <is>
          <t>Verify RED/AMBER counts, check balances vs floors, review KPIs</t>
        </is>
      </c>
    </row>
    <row r="12" ht="20" customHeight="1">
      <c r="A12" s="13" t="inlineStr">
        <is>
          <t>STEP 3</t>
        </is>
      </c>
      <c r="B12" s="14" t="inlineStr">
        <is>
          <t> </t>
        </is>
      </c>
      <c r="C12" s="15" t="inlineStr">
        <is>
          <t>Approve Proposals</t>
        </is>
      </c>
      <c r="D12" s="16" t="inlineStr">
        <is>
          <t> </t>
        </is>
      </c>
      <c r="E12" s="17" t="inlineStr">
        <is>
          <t>PROPOSALS</t>
        </is>
      </c>
      <c r="F12" s="16" t="inlineStr">
        <is>
          <t> </t>
        </is>
      </c>
      <c r="G12" s="18" t="inlineStr">
        <is>
          <t>Review wire + FX proposals; change Action from PENDING → APPROVE/SKIP/HOLD</t>
        </is>
      </c>
    </row>
    <row r="13" ht="20" customHeight="1">
      <c r="A13" s="13" t="inlineStr">
        <is>
          <t>STEP 4</t>
        </is>
      </c>
      <c r="B13" s="14" t="inlineStr">
        <is>
          <t> </t>
        </is>
      </c>
      <c r="C13" s="19" t="inlineStr">
        <is>
          <t>Export Loaders</t>
        </is>
      </c>
      <c r="D13" s="20" t="inlineStr">
        <is>
          <t> </t>
        </is>
      </c>
      <c r="E13" s="21" t="inlineStr">
        <is>
          <t>LOADERS</t>
        </is>
      </c>
      <c r="F13" s="20" t="inlineStr">
        <is>
          <t> </t>
        </is>
      </c>
      <c r="G13" s="22" t="inlineStr">
        <is>
          <t>Locked after approval — export IVP XLSX, Trade CSV, SpotFX XLSX via VBA</t>
        </is>
      </c>
    </row>
    <row r="14" ht="20" customHeight="1">
      <c r="A14" s="13" t="inlineStr">
        <is>
          <t>STEP 5</t>
        </is>
      </c>
      <c r="B14" s="14" t="inlineStr">
        <is>
          <t> </t>
        </is>
      </c>
      <c r="C14" s="15" t="inlineStr">
        <is>
          <t>Submit &amp; Confirm</t>
        </is>
      </c>
      <c r="D14" s="16" t="inlineStr">
        <is>
          <t> </t>
        </is>
      </c>
      <c r="E14" s="17" t="inlineStr">
        <is>
          <t>LOADERS</t>
        </is>
      </c>
      <c r="F14" s="16" t="inlineStr">
        <is>
          <t> </t>
        </is>
      </c>
      <c r="G14" s="18" t="inlineStr">
        <is>
          <t>Upload IVP file; enter confirmation references when bank confirms wires</t>
        </is>
      </c>
    </row>
    <row r="15" ht="20" customHeight="1">
      <c r="A15" s="13" t="inlineStr">
        <is>
          <t>STEP 6</t>
        </is>
      </c>
      <c r="B15" s="14" t="inlineStr">
        <is>
          <t> </t>
        </is>
      </c>
      <c r="C15" s="19" t="inlineStr">
        <is>
          <t>Archive</t>
        </is>
      </c>
      <c r="D15" s="20" t="inlineStr">
        <is>
          <t> </t>
        </is>
      </c>
      <c r="E15" s="21" t="inlineStr">
        <is>
          <t>VBA: Archive</t>
        </is>
      </c>
      <c r="F15" s="20" t="inlineStr">
        <is>
          <t> </t>
        </is>
      </c>
      <c r="G15" s="22" t="inlineStr">
        <is>
          <t>VBA ArchiveCurrentData() saves timestamped copy to Archive/ folder</t>
        </is>
      </c>
    </row>
    <row r="17" ht="8" customHeight="1"/>
    <row r="18" ht="20" customHeight="1">
      <c r="A18" s="12" t="inlineStr">
        <is>
          <t>STATUS MODEL REFERENCE</t>
        </is>
      </c>
    </row>
    <row r="19">
      <c r="A19" s="23" t="inlineStr">
        <is>
          <t>Status</t>
        </is>
      </c>
      <c r="B19" s="23" t="inlineStr">
        <is>
          <t>Condition</t>
        </is>
      </c>
      <c r="C19" s="23" t="inlineStr">
        <is>
          <t>Formula Zone</t>
        </is>
      </c>
      <c r="E19" s="23" t="inlineStr"/>
      <c r="F19" s="23" t="inlineStr">
        <is>
          <t>Condition</t>
        </is>
      </c>
      <c r="H19" s="23" t="inlineStr">
        <is>
          <t>Notes</t>
        </is>
      </c>
    </row>
    <row r="20" ht="20" customHeight="1">
      <c r="A20" s="24" t="inlineStr">
        <is>
          <t>RED</t>
        </is>
      </c>
      <c r="B20" s="25" t="inlineStr">
        <is>
          <t>Cash &lt; Floor</t>
        </is>
      </c>
      <c r="F20" s="26" t="inlineStr">
        <is>
          <t>Immediate wire required. Source fund triggered.</t>
        </is>
      </c>
    </row>
    <row r="21" ht="20" customHeight="1">
      <c r="A21" s="27" t="inlineStr">
        <is>
          <t>AMBER</t>
        </is>
      </c>
      <c r="B21" s="28" t="inlineStr">
        <is>
          <t>Floor ≤ Cash &lt; Floor × 1.10</t>
        </is>
      </c>
      <c r="F21" s="26" t="inlineStr">
        <is>
          <t>Watch closely. No wire required today.</t>
        </is>
      </c>
    </row>
    <row r="22" ht="20" customHeight="1">
      <c r="A22" s="29" t="inlineStr">
        <is>
          <t>GREEN</t>
        </is>
      </c>
      <c r="B22" s="30" t="inlineStr">
        <is>
          <t>Floor × 1.10 ≤ Cash ≤ Ceiling</t>
        </is>
      </c>
      <c r="F22" s="26" t="inlineStr">
        <is>
          <t>Healthy operating range. No action needed.</t>
        </is>
      </c>
    </row>
    <row r="23" ht="20" customHeight="1">
      <c r="A23" s="31" t="inlineStr">
        <is>
          <t>BLUE</t>
        </is>
      </c>
      <c r="B23" s="32" t="inlineStr">
        <is>
          <t>Cash &gt; Ceiling</t>
        </is>
      </c>
      <c r="F23" s="26" t="inlineStr">
        <is>
          <t>Excess cash. Review for upward sweep or investment.</t>
        </is>
      </c>
    </row>
    <row r="25" ht="8" customHeight="1"/>
    <row r="26">
      <c r="A26" s="33" t="inlineStr">
        <is>
          <t>VBA MACRO SETUP  (optional — for automation buttons)</t>
        </is>
      </c>
    </row>
    <row r="27" ht="18" customHeight="1">
      <c r="A27" s="34" t="inlineStr">
        <is>
          <t>1. Save this file as ApolloCAM.xlsm (Excel Macro-Enabled Workbook)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8" customHeight="1">
      <c r="A28" s="37" t="inlineStr">
        <is>
          <t>2. Press Alt+F11 to open the VBA editor</t>
        </is>
      </c>
      <c r="B28" s="35" t="n"/>
      <c r="C28" s="35" t="n"/>
      <c r="D28" s="35" t="n"/>
      <c r="E28" s="35" t="n"/>
      <c r="F28" s="35" t="n"/>
      <c r="G28" s="35" t="n"/>
      <c r="H28" s="36" t="n"/>
    </row>
    <row r="29" ht="18" customHeight="1">
      <c r="A29" s="34" t="inlineStr">
        <is>
          <t>3. File → Import File → select modApolloCAM.bas (from the vba/ folder)</t>
        </is>
      </c>
      <c r="B29" s="35" t="n"/>
      <c r="C29" s="35" t="n"/>
      <c r="D29" s="35" t="n"/>
      <c r="E29" s="35" t="n"/>
      <c r="F29" s="35" t="n"/>
      <c r="G29" s="35" t="n"/>
      <c r="H29" s="36" t="n"/>
    </row>
    <row r="30" ht="18" customHeight="1">
      <c r="A30" s="37" t="inlineStr">
        <is>
          <t>4. Save again as .xlsm — macro ribbon buttons become active</t>
        </is>
      </c>
      <c r="B30" s="35" t="n"/>
      <c r="C30" s="35" t="n"/>
      <c r="D30" s="35" t="n"/>
      <c r="E30" s="35" t="n"/>
      <c r="F30" s="35" t="n"/>
      <c r="G30" s="35" t="n"/>
      <c r="H30" s="36" t="n"/>
    </row>
    <row r="31" ht="18" customHeight="1">
      <c r="A31" s="34" t="inlineStr">
        <is>
          <t>5. Admin password to unlock Loaders: ApolloAdmin2026</t>
        </is>
      </c>
      <c r="B31" s="35" t="n"/>
      <c r="C31" s="35" t="n"/>
      <c r="D31" s="35" t="n"/>
      <c r="E31" s="35" t="n"/>
      <c r="F31" s="35" t="n"/>
      <c r="G31" s="35" t="n"/>
      <c r="H31" s="36" t="n"/>
    </row>
  </sheetData>
  <mergeCells count="33">
    <mergeCell ref="A9:H9"/>
    <mergeCell ref="F20:H20"/>
    <mergeCell ref="G12:H12"/>
    <mergeCell ref="C6:D6"/>
    <mergeCell ref="A30:H30"/>
    <mergeCell ref="G11:H11"/>
    <mergeCell ref="C5:D5"/>
    <mergeCell ref="E5:F5"/>
    <mergeCell ref="A1:H1"/>
    <mergeCell ref="B20:E20"/>
    <mergeCell ref="A6:B6"/>
    <mergeCell ref="F23:H23"/>
    <mergeCell ref="F22:H22"/>
    <mergeCell ref="G10:H10"/>
    <mergeCell ref="G6:H6"/>
    <mergeCell ref="G13:H13"/>
    <mergeCell ref="A27:H27"/>
    <mergeCell ref="B22:E22"/>
    <mergeCell ref="A18:H18"/>
    <mergeCell ref="A3:H3"/>
    <mergeCell ref="E6:F6"/>
    <mergeCell ref="A26:H26"/>
    <mergeCell ref="G15:H15"/>
    <mergeCell ref="A2:H2"/>
    <mergeCell ref="B21:E21"/>
    <mergeCell ref="A5:B5"/>
    <mergeCell ref="G5:H5"/>
    <mergeCell ref="G14:H14"/>
    <mergeCell ref="B23:E23"/>
    <mergeCell ref="A29:H29"/>
    <mergeCell ref="A28:H28"/>
    <mergeCell ref="F21:H2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744"/>
    <outlinePr summaryBelow="1" summaryRight="1"/>
    <pageSetUpPr fitToPage="1"/>
  </sheetPr>
  <dimension ref="A1:L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6" customWidth="1" min="4" max="4"/>
    <col width="18" customWidth="1" min="5" max="5"/>
    <col width="16" customWidth="1" min="6" max="6"/>
    <col width="16" customWidth="1" min="7" max="7"/>
    <col width="10" customWidth="1" min="8" max="8"/>
    <col width="20" customWidth="1" min="9" max="9"/>
    <col width="10" customWidth="1" min="10" max="10"/>
    <col width="10" customWidth="1" min="11" max="11"/>
    <col width="16" customWidth="1" min="12" max="12"/>
  </cols>
  <sheetData>
    <row r="1" ht="42" customHeight="1">
      <c r="A1" s="38" t="inlineStr">
        <is>
          <t>APOLLOCAM  ·  DAILY CASH DASHBOARD  ·  As-of: 2026-06-01</t>
        </is>
      </c>
    </row>
    <row r="2" ht="14" customHeight="1"/>
    <row r="3" ht="32" customHeight="1">
      <c r="A3" s="39" t="inlineStr">
        <is>
          <t>RED Funds</t>
        </is>
      </c>
      <c r="C3" s="40" t="inlineStr">
        <is>
          <t>AMBER Funds</t>
        </is>
      </c>
      <c r="E3" s="41" t="inlineStr">
        <is>
          <t>GREEN Funds</t>
        </is>
      </c>
      <c r="G3" s="42" t="inlineStr">
        <is>
          <t>BLUE (Excess)</t>
        </is>
      </c>
      <c r="I3" s="43" t="inlineStr">
        <is>
          <t>Total Cash</t>
        </is>
      </c>
      <c r="K3" s="43" t="inlineStr">
        <is>
          <t>Batch</t>
        </is>
      </c>
    </row>
    <row r="4" ht="32" customHeight="1">
      <c r="A4" s="44" t="n">
        <v>3</v>
      </c>
      <c r="C4" s="45" t="n">
        <v>2</v>
      </c>
      <c r="E4" s="46" t="n">
        <v>4</v>
      </c>
      <c r="G4" s="47" t="n">
        <v>2</v>
      </c>
      <c r="I4" s="48" t="n">
        <v>15858663</v>
      </c>
      <c r="K4" s="49" t="inlineStr">
        <is>
          <t>B20260601-001</t>
        </is>
      </c>
    </row>
    <row r="5" ht="16" customHeight="1">
      <c r="A5" s="50" t="inlineStr">
        <is>
          <t>Formula: Status = IF(Cash&lt;Floor,"RED", IF(Cash&lt;Floor×AMBER_BUFFER,"AMBER", IF(Cash≤Ceiling,"GREEN","BLUE")))  ·  AMBER_BUFFER=1.10  ·  Cash = SUMIF(_DATA!FundCode, _DATA!FunctionalUSD)</t>
        </is>
      </c>
    </row>
    <row r="6" ht="20" customHeight="1">
      <c r="A6" s="51" t="inlineStr">
        <is>
          <t>Fund Code</t>
        </is>
      </c>
      <c r="B6" s="51" t="inlineStr">
        <is>
          <t>Fund Name</t>
        </is>
      </c>
      <c r="C6" s="51" t="inlineStr">
        <is>
          <t>Type</t>
        </is>
      </c>
      <c r="D6" s="51" t="inlineStr">
        <is>
          <t>CCY</t>
        </is>
      </c>
      <c r="E6" s="51" t="inlineStr">
        <is>
          <t>Cash (USD)</t>
        </is>
      </c>
      <c r="F6" s="51" t="inlineStr">
        <is>
          <t>Floor</t>
        </is>
      </c>
      <c r="G6" s="51" t="inlineStr">
        <is>
          <t>Ceiling</t>
        </is>
      </c>
      <c r="H6" s="51" t="inlineStr">
        <is>
          <t>Status</t>
        </is>
      </c>
      <c r="I6" s="51" t="inlineStr">
        <is>
          <t>Surplus / (Deficit)</t>
        </is>
      </c>
      <c r="J6" s="51" t="inlineStr">
        <is>
          <t>Deficit</t>
        </is>
      </c>
      <c r="K6" s="51" t="inlineStr">
        <is>
          <t>% of Floor</t>
        </is>
      </c>
      <c r="L6" s="51" t="inlineStr">
        <is>
          <t>Routing Source</t>
        </is>
      </c>
    </row>
    <row r="7" ht="18" customHeight="1">
      <c r="A7" s="52" t="inlineStr">
        <is>
          <t>AAA-AGG</t>
        </is>
      </c>
      <c r="B7" s="52" t="inlineStr">
        <is>
          <t>Apollo Aligned Alternatives Aggregator, L.P.</t>
        </is>
      </c>
      <c r="C7" s="52" t="inlineStr">
        <is>
          <t>Aggregator</t>
        </is>
      </c>
      <c r="D7" s="52" t="inlineStr">
        <is>
          <t>USD</t>
        </is>
      </c>
      <c r="E7" s="53" t="n">
        <v>2192987</v>
      </c>
      <c r="F7" s="54" t="n">
        <v>1500000</v>
      </c>
      <c r="G7" s="54" t="n">
        <v>3000000</v>
      </c>
      <c r="H7" s="55" t="inlineStr">
        <is>
          <t>GREEN</t>
        </is>
      </c>
      <c r="I7" s="56" t="n">
        <v>692987</v>
      </c>
      <c r="J7" s="54" t="n">
        <v>0</v>
      </c>
      <c r="K7" s="57" t="n">
        <v>146.1991333333334</v>
      </c>
      <c r="L7" s="58" t="inlineStr"/>
    </row>
    <row r="8" ht="18" customHeight="1">
      <c r="A8" s="59" t="inlineStr">
        <is>
          <t>AAA-LUX-AGG</t>
        </is>
      </c>
      <c r="B8" s="59" t="inlineStr">
        <is>
          <t>AAA Lux Aggregator, L.P.</t>
        </is>
      </c>
      <c r="C8" s="59" t="inlineStr">
        <is>
          <t>Aggregator</t>
        </is>
      </c>
      <c r="D8" s="59" t="inlineStr">
        <is>
          <t>USD</t>
        </is>
      </c>
      <c r="E8" s="60" t="n">
        <v>763759</v>
      </c>
      <c r="F8" s="61" t="n">
        <v>500000</v>
      </c>
      <c r="G8" s="61" t="n">
        <v>1000000</v>
      </c>
      <c r="H8" s="55" t="inlineStr">
        <is>
          <t>GREEN</t>
        </is>
      </c>
      <c r="I8" s="62" t="n">
        <v>263759</v>
      </c>
      <c r="J8" s="61" t="n">
        <v>0</v>
      </c>
      <c r="K8" s="63" t="n">
        <v>152.7518</v>
      </c>
      <c r="L8" s="64" t="inlineStr"/>
    </row>
    <row r="9" ht="18" customHeight="1">
      <c r="A9" s="52" t="inlineStr">
        <is>
          <t>AAA-IDF-AGG</t>
        </is>
      </c>
      <c r="B9" s="52" t="inlineStr">
        <is>
          <t>AAA IDF, L.P.</t>
        </is>
      </c>
      <c r="C9" s="52" t="inlineStr">
        <is>
          <t>Aggregator</t>
        </is>
      </c>
      <c r="D9" s="52" t="inlineStr">
        <is>
          <t>USD</t>
        </is>
      </c>
      <c r="E9" s="65" t="n">
        <v>89635</v>
      </c>
      <c r="F9" s="54" t="n">
        <v>150000</v>
      </c>
      <c r="G9" s="54" t="n">
        <v>400000</v>
      </c>
      <c r="H9" s="66" t="inlineStr">
        <is>
          <t>RED</t>
        </is>
      </c>
      <c r="I9" s="67" t="n">
        <v>-60365</v>
      </c>
      <c r="J9" s="54" t="n">
        <v>60365</v>
      </c>
      <c r="K9" s="57" t="n">
        <v>59.75666666666667</v>
      </c>
      <c r="L9" s="58" t="inlineStr">
        <is>
          <t>AAA-AGG</t>
        </is>
      </c>
    </row>
    <row r="10" ht="18" customHeight="1">
      <c r="A10" s="59" t="inlineStr">
        <is>
          <t>AAA-SF1Y</t>
        </is>
      </c>
      <c r="B10" s="59" t="inlineStr">
        <is>
          <t>AAA Sub Fund 1-Y, L.P.</t>
        </is>
      </c>
      <c r="C10" s="59" t="inlineStr">
        <is>
          <t>Sub-Fund</t>
        </is>
      </c>
      <c r="D10" s="59" t="inlineStr">
        <is>
          <t>USD</t>
        </is>
      </c>
      <c r="E10" s="60" t="n">
        <v>9281309</v>
      </c>
      <c r="F10" s="61" t="n">
        <v>2000000</v>
      </c>
      <c r="G10" s="61" t="n">
        <v>5000000</v>
      </c>
      <c r="H10" s="68" t="inlineStr">
        <is>
          <t>BLUE</t>
        </is>
      </c>
      <c r="I10" s="62" t="n">
        <v>7281309</v>
      </c>
      <c r="J10" s="61" t="n">
        <v>0</v>
      </c>
      <c r="K10" s="63" t="n">
        <v>464.06545</v>
      </c>
      <c r="L10" s="64" t="inlineStr">
        <is>
          <t>AAA-AGG</t>
        </is>
      </c>
    </row>
    <row r="11" ht="18" customHeight="1">
      <c r="A11" s="52" t="inlineStr">
        <is>
          <t>AAA-MACS-Z</t>
        </is>
      </c>
      <c r="B11" s="52" t="inlineStr">
        <is>
          <t>AAA Multi-Asset Credit Strategies (Z), L.P.</t>
        </is>
      </c>
      <c r="C11" s="52" t="inlineStr">
        <is>
          <t>Sub-Fund</t>
        </is>
      </c>
      <c r="D11" s="52" t="inlineStr">
        <is>
          <t>USD</t>
        </is>
      </c>
      <c r="E11" s="53" t="n">
        <v>579030</v>
      </c>
      <c r="F11" s="54" t="n">
        <v>250000</v>
      </c>
      <c r="G11" s="54" t="n">
        <v>650000</v>
      </c>
      <c r="H11" s="55" t="inlineStr">
        <is>
          <t>GREEN</t>
        </is>
      </c>
      <c r="I11" s="56" t="n">
        <v>329030</v>
      </c>
      <c r="J11" s="54" t="n">
        <v>0</v>
      </c>
      <c r="K11" s="57" t="n">
        <v>231.612</v>
      </c>
      <c r="L11" s="58" t="inlineStr">
        <is>
          <t>AAA-AGG</t>
        </is>
      </c>
    </row>
    <row r="12" ht="18" customHeight="1">
      <c r="A12" s="59" t="inlineStr">
        <is>
          <t>AAA-DL-Y</t>
        </is>
      </c>
      <c r="B12" s="59" t="inlineStr">
        <is>
          <t>AAA Direct Lending (Y), L.P.</t>
        </is>
      </c>
      <c r="C12" s="59" t="inlineStr">
        <is>
          <t>Sub-Fund</t>
        </is>
      </c>
      <c r="D12" s="59" t="inlineStr">
        <is>
          <t>USD</t>
        </is>
      </c>
      <c r="E12" s="69" t="n">
        <v>-77734</v>
      </c>
      <c r="F12" s="61" t="n">
        <v>100000</v>
      </c>
      <c r="G12" s="61" t="n">
        <v>300000</v>
      </c>
      <c r="H12" s="66" t="inlineStr">
        <is>
          <t>RED</t>
        </is>
      </c>
      <c r="I12" s="70" t="n">
        <v>-177734</v>
      </c>
      <c r="J12" s="61" t="n">
        <v>177734</v>
      </c>
      <c r="K12" s="63" t="n">
        <v>-77.73400000000001</v>
      </c>
      <c r="L12" s="64" t="inlineStr">
        <is>
          <t>AAA-SF1Y</t>
        </is>
      </c>
    </row>
    <row r="13" ht="18" customHeight="1">
      <c r="A13" s="52" t="inlineStr">
        <is>
          <t>AAA-HOSTPLUS-II</t>
        </is>
      </c>
      <c r="B13" s="52" t="inlineStr">
        <is>
          <t>Apollo HostPlus Credit II Holdings II, L.P.</t>
        </is>
      </c>
      <c r="C13" s="52" t="inlineStr">
        <is>
          <t>Sub-Fund</t>
        </is>
      </c>
      <c r="D13" s="52" t="inlineStr">
        <is>
          <t>USD</t>
        </is>
      </c>
      <c r="E13" s="53" t="n">
        <v>578460</v>
      </c>
      <c r="F13" s="54" t="n">
        <v>400000</v>
      </c>
      <c r="G13" s="54" t="n">
        <v>600000</v>
      </c>
      <c r="H13" s="55" t="inlineStr">
        <is>
          <t>GREEN</t>
        </is>
      </c>
      <c r="I13" s="56" t="n">
        <v>178460</v>
      </c>
      <c r="J13" s="54" t="n">
        <v>0</v>
      </c>
      <c r="K13" s="57" t="n">
        <v>144.615</v>
      </c>
      <c r="L13" s="58" t="inlineStr">
        <is>
          <t>AAA-AGG</t>
        </is>
      </c>
    </row>
    <row r="14" ht="18" customHeight="1">
      <c r="A14" s="59" t="inlineStr">
        <is>
          <t>AAA-SF4Z</t>
        </is>
      </c>
      <c r="B14" s="59" t="inlineStr">
        <is>
          <t>AAA Sub Fund 4-Z, L.P.</t>
        </is>
      </c>
      <c r="C14" s="59" t="inlineStr">
        <is>
          <t>Sub-Fund</t>
        </is>
      </c>
      <c r="D14" s="59" t="inlineStr">
        <is>
          <t>USD</t>
        </is>
      </c>
      <c r="E14" s="60" t="n">
        <v>121002</v>
      </c>
      <c r="F14" s="61" t="n">
        <v>115000</v>
      </c>
      <c r="G14" s="61" t="n">
        <v>250000</v>
      </c>
      <c r="H14" s="71" t="inlineStr">
        <is>
          <t>AMBER</t>
        </is>
      </c>
      <c r="I14" s="62" t="n">
        <v>6002</v>
      </c>
      <c r="J14" s="61" t="n">
        <v>0</v>
      </c>
      <c r="K14" s="63" t="n">
        <v>105.2191304347826</v>
      </c>
      <c r="L14" s="64" t="inlineStr">
        <is>
          <t>AAA-AGG</t>
        </is>
      </c>
    </row>
    <row r="15" ht="18" customHeight="1">
      <c r="A15" s="52" t="inlineStr">
        <is>
          <t>AAA-SF2Y</t>
        </is>
      </c>
      <c r="B15" s="52" t="inlineStr">
        <is>
          <t>AAA Sub Fund 2-Y, L.P.</t>
        </is>
      </c>
      <c r="C15" s="52" t="inlineStr">
        <is>
          <t>Sub-Fund</t>
        </is>
      </c>
      <c r="D15" s="52" t="inlineStr">
        <is>
          <t>USD</t>
        </is>
      </c>
      <c r="E15" s="53" t="n">
        <v>114913</v>
      </c>
      <c r="F15" s="54" t="n">
        <v>110000</v>
      </c>
      <c r="G15" s="54" t="n">
        <v>300000</v>
      </c>
      <c r="H15" s="71" t="inlineStr">
        <is>
          <t>AMBER</t>
        </is>
      </c>
      <c r="I15" s="56" t="n">
        <v>4913</v>
      </c>
      <c r="J15" s="54" t="n">
        <v>0</v>
      </c>
      <c r="K15" s="57" t="n">
        <v>104.4663636363636</v>
      </c>
      <c r="L15" s="58" t="inlineStr">
        <is>
          <t>AAA-AGG</t>
        </is>
      </c>
    </row>
    <row r="16" ht="18" customHeight="1">
      <c r="A16" s="59" t="inlineStr">
        <is>
          <t>AAA-SF1YS</t>
        </is>
      </c>
      <c r="B16" s="59" t="inlineStr">
        <is>
          <t>AAA Sub Fund 1-YS, L.P.</t>
        </is>
      </c>
      <c r="C16" s="59" t="inlineStr">
        <is>
          <t>Sub-Fund</t>
        </is>
      </c>
      <c r="D16" s="59" t="inlineStr">
        <is>
          <t>USD</t>
        </is>
      </c>
      <c r="E16" s="69" t="n">
        <v>53101</v>
      </c>
      <c r="F16" s="61" t="n">
        <v>75000</v>
      </c>
      <c r="G16" s="61" t="n">
        <v>200000</v>
      </c>
      <c r="H16" s="66" t="inlineStr">
        <is>
          <t>RED</t>
        </is>
      </c>
      <c r="I16" s="70" t="n">
        <v>-21899</v>
      </c>
      <c r="J16" s="61" t="n">
        <v>21899</v>
      </c>
      <c r="K16" s="63" t="n">
        <v>70.80133333333333</v>
      </c>
      <c r="L16" s="64" t="inlineStr">
        <is>
          <t>AAA-SF1Y</t>
        </is>
      </c>
    </row>
    <row r="17" ht="18" customHeight="1">
      <c r="A17" s="52" t="inlineStr">
        <is>
          <t>AAA-LIBRA</t>
        </is>
      </c>
      <c r="B17" s="52" t="inlineStr">
        <is>
          <t>Apollo Libra Credit Opportunities Fund, L.P.</t>
        </is>
      </c>
      <c r="C17" s="52" t="inlineStr">
        <is>
          <t>Sub-Fund</t>
        </is>
      </c>
      <c r="D17" s="52" t="inlineStr">
        <is>
          <t>USD</t>
        </is>
      </c>
      <c r="E17" s="53" t="n">
        <v>131363</v>
      </c>
      <c r="F17" s="54" t="n">
        <v>50000</v>
      </c>
      <c r="G17" s="54" t="n">
        <v>120000</v>
      </c>
      <c r="H17" s="68" t="inlineStr">
        <is>
          <t>BLUE</t>
        </is>
      </c>
      <c r="I17" s="56" t="n">
        <v>81363</v>
      </c>
      <c r="J17" s="54" t="n">
        <v>0</v>
      </c>
      <c r="K17" s="57" t="n">
        <v>262.726</v>
      </c>
      <c r="L17" s="58" t="inlineStr">
        <is>
          <t>AAA-AGG</t>
        </is>
      </c>
    </row>
    <row r="18" ht="20" customHeight="1">
      <c r="A18" s="72" t="inlineStr">
        <is>
          <t>TOTAL</t>
        </is>
      </c>
      <c r="B18" s="73" t="n"/>
      <c r="C18" s="73" t="n"/>
      <c r="D18" s="73" t="n"/>
      <c r="E18" s="74" t="n">
        <v>13827825</v>
      </c>
      <c r="F18" s="73" t="n"/>
      <c r="G18" s="73" t="n"/>
      <c r="H18" s="73" t="n"/>
      <c r="I18" s="73" t="n"/>
      <c r="J18" s="73" t="n"/>
      <c r="K18" s="73" t="n"/>
      <c r="L18" s="73" t="n"/>
    </row>
  </sheetData>
  <mergeCells count="15">
    <mergeCell ref="A4:B4"/>
    <mergeCell ref="G4:H4"/>
    <mergeCell ref="E4:F4"/>
    <mergeCell ref="A18:D18"/>
    <mergeCell ref="I4:J4"/>
    <mergeCell ref="I3:J3"/>
    <mergeCell ref="A1:L1"/>
    <mergeCell ref="A5:L5"/>
    <mergeCell ref="K4:L4"/>
    <mergeCell ref="C3:D3"/>
    <mergeCell ref="A3:B3"/>
    <mergeCell ref="G3:H3"/>
    <mergeCell ref="E3:F3"/>
    <mergeCell ref="K3:L3"/>
    <mergeCell ref="C4:D4"/>
  </mergeCells>
  <conditionalFormatting sqref="A7:L17">
    <cfRule type="expression" priority="1" dxfId="0">
      <formula>=$H7="RED"</formula>
    </cfRule>
    <cfRule type="expression" priority="2" dxfId="1">
      <formula>=$H7="AMBER"</formula>
    </cfRule>
    <cfRule type="expression" priority="3" dxfId="2">
      <formula>=$H7="GREEN"</formula>
    </cfRule>
    <cfRule type="expression" priority="4" dxfId="3">
      <formula>=$H7="BLUE"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7D55"/>
    <outlinePr summaryBelow="1" summaryRight="1"/>
    <pageSetUpPr fitToPage="1"/>
  </sheetPr>
  <dimension ref="A1:M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12" customWidth="1" min="12" max="12"/>
    <col width="22" customWidth="1" min="13" max="13"/>
  </cols>
  <sheetData>
    <row r="1" ht="42" customHeight="1">
      <c r="A1" s="75" t="inlineStr">
        <is>
          <t>APOLLOCAM  ·  PROPOSALS — Wire Transfers &amp; Spot FX Conversions  ·  Batch: B20260601-001  |  2026-06-01</t>
        </is>
      </c>
    </row>
    <row r="2" ht="8" customHeight="1"/>
    <row r="3">
      <c r="A3" s="12" t="inlineStr">
        <is>
          <t>WIRE TRANSFER PROPOSALS</t>
        </is>
      </c>
    </row>
    <row r="4" ht="16" customHeight="1">
      <c r="A4" s="50" t="inlineStr">
        <is>
          <t>Formula: Wire Amount = MIN(Deficit, MAX(0, Source Balance − Source Floor − Prior Committed))  ·  Sorted by deficit descending  ·  Sequential balance depletion prevents source over-commitment</t>
        </is>
      </c>
    </row>
    <row r="5">
      <c r="A5" s="23" t="inlineStr">
        <is>
          <t>#</t>
        </is>
      </c>
      <c r="B5" s="23" t="inlineStr">
        <is>
          <t>From (Source)</t>
        </is>
      </c>
      <c r="C5" s="23" t="inlineStr">
        <is>
          <t>Source Name</t>
        </is>
      </c>
      <c r="D5" s="23" t="inlineStr">
        <is>
          <t>Source Balance</t>
        </is>
      </c>
      <c r="E5" s="23" t="inlineStr">
        <is>
          <t>Source Floor</t>
        </is>
      </c>
      <c r="F5" s="23" t="inlineStr">
        <is>
          <t>Prior Committed</t>
        </is>
      </c>
      <c r="G5" s="23" t="inlineStr">
        <is>
          <t>Source Available</t>
        </is>
      </c>
      <c r="H5" s="23" t="inlineStr">
        <is>
          <t>To (Deficit Fund)</t>
        </is>
      </c>
      <c r="I5" s="23" t="inlineStr">
        <is>
          <t>Deficit</t>
        </is>
      </c>
      <c r="J5" s="23" t="inlineStr">
        <is>
          <t>Wire Amount</t>
        </is>
      </c>
      <c r="K5" s="23" t="inlineStr">
        <is>
          <t>Post-Wire Balance</t>
        </is>
      </c>
      <c r="L5" s="23" t="inlineStr">
        <is>
          <t>Action</t>
        </is>
      </c>
      <c r="M5" s="23" t="inlineStr">
        <is>
          <t>Batch Reference</t>
        </is>
      </c>
    </row>
    <row r="6">
      <c r="A6" s="76" t="n">
        <v>1</v>
      </c>
      <c r="B6" s="76" t="inlineStr">
        <is>
          <t>AAA-SF1Y</t>
        </is>
      </c>
      <c r="C6" s="76" t="inlineStr">
        <is>
          <t>AAA Sub Fund 1-Y, L.P.</t>
        </is>
      </c>
      <c r="D6" s="54" t="n">
        <v>9281309</v>
      </c>
      <c r="E6" s="54" t="n">
        <v>2000000</v>
      </c>
      <c r="F6" s="54" t="n">
        <v>0</v>
      </c>
      <c r="G6" s="54" t="n">
        <v>7281309</v>
      </c>
      <c r="H6" s="76" t="inlineStr">
        <is>
          <t>AAA-DL-Y</t>
        </is>
      </c>
      <c r="I6" s="54" t="n">
        <v>177734</v>
      </c>
      <c r="J6" s="77" t="n">
        <v>177734</v>
      </c>
      <c r="K6" s="65" t="n">
        <v>100000</v>
      </c>
      <c r="L6" s="78" t="inlineStr">
        <is>
          <t>APPROVE</t>
        </is>
      </c>
      <c r="M6" s="76" t="inlineStr">
        <is>
          <t>B20260601-001-W01</t>
        </is>
      </c>
    </row>
    <row r="7">
      <c r="A7" s="79" t="n">
        <v>2</v>
      </c>
      <c r="B7" s="79" t="inlineStr">
        <is>
          <t>AAA-AGG</t>
        </is>
      </c>
      <c r="C7" s="79" t="inlineStr">
        <is>
          <t>Apollo Aligned Alternatives Aggregator, L.P.</t>
        </is>
      </c>
      <c r="D7" s="61" t="n">
        <v>2192987</v>
      </c>
      <c r="E7" s="61" t="n">
        <v>1500000</v>
      </c>
      <c r="F7" s="61" t="n">
        <v>0</v>
      </c>
      <c r="G7" s="61" t="n">
        <v>692987</v>
      </c>
      <c r="H7" s="79" t="inlineStr">
        <is>
          <t>AAA-IDF-AGG</t>
        </is>
      </c>
      <c r="I7" s="61" t="n">
        <v>60365</v>
      </c>
      <c r="J7" s="80" t="n">
        <v>60365</v>
      </c>
      <c r="K7" s="69" t="n">
        <v>150000</v>
      </c>
      <c r="L7" s="78" t="inlineStr">
        <is>
          <t>APPROVE</t>
        </is>
      </c>
      <c r="M7" s="79" t="inlineStr">
        <is>
          <t>B20260601-001-W02</t>
        </is>
      </c>
    </row>
    <row r="8">
      <c r="A8" s="76" t="n">
        <v>3</v>
      </c>
      <c r="B8" s="76" t="inlineStr">
        <is>
          <t>AAA-SF1Y</t>
        </is>
      </c>
      <c r="C8" s="76" t="inlineStr">
        <is>
          <t>AAA Sub Fund 1-Y, L.P.</t>
        </is>
      </c>
      <c r="D8" s="54" t="n">
        <v>9281309</v>
      </c>
      <c r="E8" s="54" t="n">
        <v>2000000</v>
      </c>
      <c r="F8" s="54" t="n">
        <v>177734</v>
      </c>
      <c r="G8" s="54" t="n">
        <v>7103575</v>
      </c>
      <c r="H8" s="76" t="inlineStr">
        <is>
          <t>AAA-SF1YS</t>
        </is>
      </c>
      <c r="I8" s="54" t="n">
        <v>21899</v>
      </c>
      <c r="J8" s="77" t="n">
        <v>21899</v>
      </c>
      <c r="K8" s="65" t="n">
        <v>75000</v>
      </c>
      <c r="L8" s="78" t="inlineStr">
        <is>
          <t>APPROVE</t>
        </is>
      </c>
      <c r="M8" s="76" t="inlineStr">
        <is>
          <t>B20260601-001-W03</t>
        </is>
      </c>
    </row>
    <row r="9">
      <c r="A9" s="72" t="inlineStr">
        <is>
          <t>TOTAL</t>
        </is>
      </c>
      <c r="B9" s="73" t="n"/>
      <c r="C9" s="73" t="n"/>
      <c r="D9" s="73" t="n"/>
      <c r="E9" s="73" t="n"/>
      <c r="F9" s="73" t="n"/>
      <c r="G9" s="73" t="n"/>
      <c r="H9" s="73" t="n"/>
      <c r="I9" s="73" t="n"/>
      <c r="J9" s="81" t="n">
        <v>325000</v>
      </c>
      <c r="K9" s="73" t="n"/>
      <c r="L9" s="73" t="n"/>
      <c r="M9" s="73" t="n"/>
    </row>
    <row r="11" ht="8" customHeight="1"/>
    <row r="12">
      <c r="A12" s="12" t="inlineStr">
        <is>
          <t>SPOT FX CONVERSION PROPOSALS</t>
        </is>
      </c>
    </row>
    <row r="13" ht="16" customHeight="1">
      <c r="A13" s="50" t="inlineStr">
        <is>
          <t>Formula: Sell Amount = Local Balance − Min Hold  ·  USD Equivalent = Sell Amount × FX Rate  ·  Value Date = WORKDAY(Run Date, SPOT_VALUE_LAG_DAYS=2, Holidays)</t>
        </is>
      </c>
    </row>
    <row r="14">
      <c r="A14" s="23" t="inlineStr">
        <is>
          <t>#</t>
        </is>
      </c>
      <c r="B14" s="23" t="inlineStr">
        <is>
          <t>Fund Code</t>
        </is>
      </c>
      <c r="C14" s="23" t="inlineStr">
        <is>
          <t>Fund Name</t>
        </is>
      </c>
      <c r="D14" s="23" t="inlineStr">
        <is>
          <t>Sell CCY</t>
        </is>
      </c>
      <c r="E14" s="23" t="inlineStr">
        <is>
          <t>Local Balance</t>
        </is>
      </c>
      <c r="F14" s="23" t="inlineStr">
        <is>
          <t>Min Hold</t>
        </is>
      </c>
      <c r="G14" s="23" t="inlineStr">
        <is>
          <t>Sell Amount</t>
        </is>
      </c>
      <c r="H14" s="23" t="inlineStr">
        <is>
          <t>FX Rate</t>
        </is>
      </c>
      <c r="I14" s="23" t="inlineStr">
        <is>
          <t>USD Equivalent</t>
        </is>
      </c>
      <c r="J14" s="23" t="inlineStr">
        <is>
          <t>Value Date</t>
        </is>
      </c>
      <c r="K14" s="23" t="inlineStr">
        <is>
          <t>Counterparty</t>
        </is>
      </c>
      <c r="L14" s="23" t="inlineStr">
        <is>
          <t>Action</t>
        </is>
      </c>
      <c r="M14" s="23" t="inlineStr">
        <is>
          <t>Reference</t>
        </is>
      </c>
    </row>
    <row r="15">
      <c r="A15" s="76" t="n">
        <v>1</v>
      </c>
      <c r="B15" s="76" t="inlineStr">
        <is>
          <t>AAA-LUX-AGG</t>
        </is>
      </c>
      <c r="C15" s="76" t="inlineStr">
        <is>
          <t>AAA Lux Aggregator, L.P.</t>
        </is>
      </c>
      <c r="D15" s="76" t="inlineStr">
        <is>
          <t>EUR</t>
        </is>
      </c>
      <c r="E15" s="82" t="n">
        <v>120000</v>
      </c>
      <c r="F15" s="82" t="n">
        <v>50000</v>
      </c>
      <c r="G15" s="82" t="n">
        <v>70000</v>
      </c>
      <c r="H15" s="83" t="n">
        <v>1.09</v>
      </c>
      <c r="I15" s="84" t="n">
        <v>76300</v>
      </c>
      <c r="J15" s="76" t="inlineStr">
        <is>
          <t>2026-06-03</t>
        </is>
      </c>
      <c r="K15" s="76" t="inlineStr">
        <is>
          <t>JP MORGAN FX</t>
        </is>
      </c>
      <c r="L15" s="78" t="inlineStr">
        <is>
          <t>APPROVE</t>
        </is>
      </c>
      <c r="M15" s="76" t="inlineStr">
        <is>
          <t>B20260601-001-FX01</t>
        </is>
      </c>
    </row>
    <row r="16">
      <c r="A16" s="79" t="n">
        <v>2</v>
      </c>
      <c r="B16" s="79" t="inlineStr">
        <is>
          <t>AAA-MACS-Z</t>
        </is>
      </c>
      <c r="C16" s="79" t="inlineStr">
        <is>
          <t>AAA Multi-Asset Credit Strategies (Z), L.P.</t>
        </is>
      </c>
      <c r="D16" s="79" t="inlineStr">
        <is>
          <t>EUR</t>
        </is>
      </c>
      <c r="E16" s="85" t="n">
        <v>340000</v>
      </c>
      <c r="F16" s="85" t="n">
        <v>100000</v>
      </c>
      <c r="G16" s="85" t="n">
        <v>240000</v>
      </c>
      <c r="H16" s="86" t="n">
        <v>1.09</v>
      </c>
      <c r="I16" s="87" t="n">
        <v>261600</v>
      </c>
      <c r="J16" s="79" t="inlineStr">
        <is>
          <t>2026-06-03</t>
        </is>
      </c>
      <c r="K16" s="79" t="inlineStr">
        <is>
          <t>JP MORGAN FX</t>
        </is>
      </c>
      <c r="L16" s="78" t="inlineStr">
        <is>
          <t>APPROVE</t>
        </is>
      </c>
      <c r="M16" s="79" t="inlineStr">
        <is>
          <t>B20260601-001-FX02</t>
        </is>
      </c>
    </row>
    <row r="17">
      <c r="A17" s="76" t="n">
        <v>3</v>
      </c>
      <c r="B17" s="76" t="inlineStr">
        <is>
          <t>AAA-HOSTPLUS-II</t>
        </is>
      </c>
      <c r="C17" s="76" t="inlineStr">
        <is>
          <t>Apollo HostPlus Credit II Holdings II, L.P.</t>
        </is>
      </c>
      <c r="D17" s="76" t="inlineStr">
        <is>
          <t>GBP</t>
        </is>
      </c>
      <c r="E17" s="82" t="n">
        <v>150000</v>
      </c>
      <c r="F17" s="82" t="n">
        <v>50000</v>
      </c>
      <c r="G17" s="82" t="n">
        <v>100000</v>
      </c>
      <c r="H17" s="83" t="n">
        <v>1.27</v>
      </c>
      <c r="I17" s="84" t="n">
        <v>127000</v>
      </c>
      <c r="J17" s="76" t="inlineStr">
        <is>
          <t>2026-06-03</t>
        </is>
      </c>
      <c r="K17" s="76" t="inlineStr">
        <is>
          <t>JP MORGAN FX</t>
        </is>
      </c>
      <c r="L17" s="78" t="inlineStr">
        <is>
          <t>APPROVE</t>
        </is>
      </c>
      <c r="M17" s="76" t="inlineStr">
        <is>
          <t>B20260601-001-FX03</t>
        </is>
      </c>
    </row>
  </sheetData>
  <mergeCells count="6">
    <mergeCell ref="A13:M13"/>
    <mergeCell ref="A1:M1"/>
    <mergeCell ref="A12:M12"/>
    <mergeCell ref="A4:M4"/>
    <mergeCell ref="A3:M3"/>
    <mergeCell ref="A9:I9"/>
  </mergeCells>
  <dataValidations count="2">
    <dataValidation sqref="L6 L7 L8" showDropDown="0" showInputMessage="0" showErrorMessage="0" allowBlank="0" type="list">
      <formula1>"PENDING,APPROVE,SKIP,HOLD"</formula1>
    </dataValidation>
    <dataValidation sqref="L15 L16 L17" showDropDown="0" showInputMessage="0" showErrorMessage="0" allowBlank="0" type="list">
      <formula1>"PENDING,APPROVE,SKIP,HOLD"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N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8" customWidth="1" min="4" max="4"/>
    <col width="20" customWidth="1" min="5" max="5"/>
    <col width="20" customWidth="1" min="6" max="6"/>
    <col width="14" customWidth="1" min="7" max="7"/>
    <col width="8" customWidth="1" min="8" max="8"/>
    <col width="20" customWidth="1" min="9" max="9"/>
    <col width="20" customWidth="1" min="10" max="10"/>
    <col width="18" customWidth="1" min="11" max="11"/>
    <col width="8" customWidth="1" min="12" max="12"/>
    <col width="40" customWidth="1" min="13" max="13"/>
    <col width="20" customWidth="1" min="14" max="14"/>
  </cols>
  <sheetData>
    <row r="1" ht="42" customHeight="1">
      <c r="A1" s="75" t="inlineStr">
        <is>
          <t>APOLLOCAM  ·  LOADERS — IVP Wire / Trade Booking / Spot FX</t>
        </is>
      </c>
    </row>
    <row r="2">
      <c r="A2" s="88" t="inlineStr">
        <is>
          <t>⚠  This sheet is LOCKED after loader generation.  Admin password required to unlock.  All values are static — no formulas in output rows (EY requirement).  Batch: B20260601-001  |  Generated: 2026-06-01 08:42 UTC</t>
        </is>
      </c>
    </row>
    <row r="3" ht="8" customHeight="1"/>
    <row r="4">
      <c r="A4" s="12" t="inlineStr">
        <is>
          <t>IVP WIRE LOADER  — XLSX Export  (3 wires)</t>
        </is>
      </c>
    </row>
    <row r="5">
      <c r="A5" s="23" t="inlineStr">
        <is>
          <t>Sender Account</t>
        </is>
      </c>
      <c r="B5" s="23" t="inlineStr">
        <is>
          <t>Sender Bank</t>
        </is>
      </c>
      <c r="C5" s="23" t="inlineStr">
        <is>
          <t>Sender BIC</t>
        </is>
      </c>
      <c r="D5" s="23" t="inlineStr">
        <is>
          <t>Sender Entity</t>
        </is>
      </c>
      <c r="E5" s="23" t="inlineStr">
        <is>
          <t>Receiver Account</t>
        </is>
      </c>
      <c r="F5" s="23" t="inlineStr">
        <is>
          <t>Receiver Bank</t>
        </is>
      </c>
      <c r="G5" s="23" t="inlineStr">
        <is>
          <t>Receiver BIC</t>
        </is>
      </c>
      <c r="H5" s="23" t="inlineStr">
        <is>
          <t>Receiver Entity</t>
        </is>
      </c>
      <c r="I5" s="23" t="inlineStr">
        <is>
          <t>Amount (USD)</t>
        </is>
      </c>
      <c r="J5" s="23" t="inlineStr">
        <is>
          <t>CCY</t>
        </is>
      </c>
      <c r="K5" s="23" t="inlineStr">
        <is>
          <t>Value Date</t>
        </is>
      </c>
      <c r="L5" s="23" t="inlineStr">
        <is>
          <t>Reference</t>
        </is>
      </c>
      <c r="M5" s="23" t="inlineStr">
        <is>
          <t>Narrative</t>
        </is>
      </c>
      <c r="N5" s="23" t="inlineStr">
        <is>
          <t>Batch ID</t>
        </is>
      </c>
    </row>
    <row r="6">
      <c r="A6" s="89" t="inlineStr">
        <is>
          <t>S 19834</t>
        </is>
      </c>
      <c r="B6" s="89" t="inlineStr">
        <is>
          <t>JPMORGAN CHASE NA</t>
        </is>
      </c>
      <c r="C6" s="89" t="inlineStr">
        <is>
          <t>CHASUS33</t>
        </is>
      </c>
      <c r="D6" s="89" t="inlineStr">
        <is>
          <t>AAA SUB FUND 1-Y LP INV ACC FBO WFG</t>
        </is>
      </c>
      <c r="E6" s="89" t="inlineStr">
        <is>
          <t>S 20986</t>
        </is>
      </c>
      <c r="F6" s="89" t="inlineStr">
        <is>
          <t>JPMORGAN CHASE NA</t>
        </is>
      </c>
      <c r="G6" s="89" t="inlineStr">
        <is>
          <t>CHASUS33</t>
        </is>
      </c>
      <c r="H6" s="89" t="inlineStr">
        <is>
          <t>AAA DIRECT LENDING Y LP</t>
        </is>
      </c>
      <c r="I6" s="84" t="n">
        <v>177734</v>
      </c>
      <c r="J6" s="89" t="inlineStr">
        <is>
          <t>USD</t>
        </is>
      </c>
      <c r="K6" s="89" t="inlineStr">
        <is>
          <t>2026-06-01</t>
        </is>
      </c>
      <c r="L6" s="89" t="inlineStr">
        <is>
          <t>ACAM-20260601-001</t>
        </is>
      </c>
      <c r="M6" s="89" t="inlineStr">
        <is>
          <t>Wire P1: SF1Y → DL-Y (deficit cover)</t>
        </is>
      </c>
      <c r="N6" s="89" t="inlineStr">
        <is>
          <t>B20260601-001</t>
        </is>
      </c>
    </row>
    <row r="7">
      <c r="A7" s="90" t="inlineStr">
        <is>
          <t>S 17017</t>
        </is>
      </c>
      <c r="B7" s="90" t="inlineStr">
        <is>
          <t>JPMORGAN CHASE NA</t>
        </is>
      </c>
      <c r="C7" s="90" t="inlineStr">
        <is>
          <t>CHASUS33</t>
        </is>
      </c>
      <c r="D7" s="90" t="inlineStr">
        <is>
          <t>APOLLO ALIGNED ALTERNATIVES AGR LP</t>
        </is>
      </c>
      <c r="E7" s="90" t="inlineStr">
        <is>
          <t>S 23061</t>
        </is>
      </c>
      <c r="F7" s="90" t="inlineStr">
        <is>
          <t>JPMORGAN CHASE NA</t>
        </is>
      </c>
      <c r="G7" s="90" t="inlineStr">
        <is>
          <t>CHASUS33</t>
        </is>
      </c>
      <c r="H7" s="90" t="inlineStr">
        <is>
          <t>AAA IDF LP</t>
        </is>
      </c>
      <c r="I7" s="87" t="n">
        <v>60365</v>
      </c>
      <c r="J7" s="90" t="inlineStr">
        <is>
          <t>USD</t>
        </is>
      </c>
      <c r="K7" s="90" t="inlineStr">
        <is>
          <t>2026-06-01</t>
        </is>
      </c>
      <c r="L7" s="90" t="inlineStr">
        <is>
          <t>ACAM-20260601-002</t>
        </is>
      </c>
      <c r="M7" s="90" t="inlineStr">
        <is>
          <t>Wire P2: AGG → IDF-AGG (deficit cover)</t>
        </is>
      </c>
      <c r="N7" s="90" t="inlineStr">
        <is>
          <t>B20260601-001</t>
        </is>
      </c>
    </row>
    <row r="8">
      <c r="A8" s="89" t="inlineStr">
        <is>
          <t>S 19834</t>
        </is>
      </c>
      <c r="B8" s="89" t="inlineStr">
        <is>
          <t>JPMORGAN CHASE NA</t>
        </is>
      </c>
      <c r="C8" s="89" t="inlineStr">
        <is>
          <t>CHASUS33</t>
        </is>
      </c>
      <c r="D8" s="89" t="inlineStr">
        <is>
          <t>AAA SUB FUND 1-Y LP INV ACC FBO WFG</t>
        </is>
      </c>
      <c r="E8" s="89" t="inlineStr">
        <is>
          <t>S 20680</t>
        </is>
      </c>
      <c r="F8" s="89" t="inlineStr">
        <is>
          <t>JPMORGAN CHASE NA</t>
        </is>
      </c>
      <c r="G8" s="89" t="inlineStr">
        <is>
          <t>CHASUS33</t>
        </is>
      </c>
      <c r="H8" s="89" t="inlineStr">
        <is>
          <t>AAA SUB FUND 1-YS LP INV FBO WELLS FARGO</t>
        </is>
      </c>
      <c r="I8" s="84" t="n">
        <v>21899</v>
      </c>
      <c r="J8" s="89" t="inlineStr">
        <is>
          <t>USD</t>
        </is>
      </c>
      <c r="K8" s="89" t="inlineStr">
        <is>
          <t>2026-06-01</t>
        </is>
      </c>
      <c r="L8" s="89" t="inlineStr">
        <is>
          <t>ACAM-20260601-003</t>
        </is>
      </c>
      <c r="M8" s="89" t="inlineStr">
        <is>
          <t>Wire P3: SF1Y → SF1YS (deficit cover)</t>
        </is>
      </c>
      <c r="N8" s="89" t="inlineStr">
        <is>
          <t>B20260601-001</t>
        </is>
      </c>
    </row>
    <row r="10" ht="8" customHeight="1"/>
    <row r="11">
      <c r="A11" s="12" t="inlineStr">
        <is>
          <t>TRADE BOOKING LOADER  — CSV Export  (6 rows: 2 legs per wire)</t>
        </is>
      </c>
    </row>
    <row r="12">
      <c r="A12" s="23" t="inlineStr">
        <is>
          <t>Trade Date</t>
        </is>
      </c>
      <c r="B12" s="23" t="inlineStr">
        <is>
          <t>Value Date</t>
        </is>
      </c>
      <c r="C12" s="23" t="inlineStr">
        <is>
          <t>Fund</t>
        </is>
      </c>
      <c r="D12" s="23" t="inlineStr">
        <is>
          <t>Account</t>
        </is>
      </c>
      <c r="E12" s="23" t="inlineStr">
        <is>
          <t>Ref Fund</t>
        </is>
      </c>
      <c r="F12" s="23" t="inlineStr">
        <is>
          <t>Amount (USD)</t>
        </is>
      </c>
      <c r="G12" s="23" t="inlineStr">
        <is>
          <t>CCY</t>
        </is>
      </c>
      <c r="H12" s="23" t="inlineStr">
        <is>
          <t>GL Account</t>
        </is>
      </c>
      <c r="I12" s="23" t="inlineStr">
        <is>
          <t>Dr/Cr</t>
        </is>
      </c>
      <c r="J12" s="23" t="inlineStr">
        <is>
          <t>Cost Centre</t>
        </is>
      </c>
      <c r="K12" s="23" t="inlineStr">
        <is>
          <t>Reference</t>
        </is>
      </c>
      <c r="L12" s="23" t="inlineStr">
        <is>
          <t>Batch ID</t>
        </is>
      </c>
    </row>
    <row r="13">
      <c r="A13" s="89" t="inlineStr">
        <is>
          <t>2026-06-01</t>
        </is>
      </c>
      <c r="B13" s="89" t="inlineStr">
        <is>
          <t>2026-06-01</t>
        </is>
      </c>
      <c r="C13" s="89" t="inlineStr">
        <is>
          <t>AAA-SF1Y</t>
        </is>
      </c>
      <c r="D13" s="89" t="inlineStr">
        <is>
          <t>S 19834</t>
        </is>
      </c>
      <c r="E13" s="89" t="inlineStr">
        <is>
          <t>AAA-DL-Y</t>
        </is>
      </c>
      <c r="F13" s="91" t="n">
        <v>-177734</v>
      </c>
      <c r="G13" s="89" t="inlineStr">
        <is>
          <t>USD</t>
        </is>
      </c>
      <c r="H13" s="89" t="inlineStr">
        <is>
          <t>1010-CASH</t>
        </is>
      </c>
      <c r="I13" s="92" t="inlineStr">
        <is>
          <t>DR</t>
        </is>
      </c>
      <c r="J13" s="89" t="inlineStr">
        <is>
          <t>MUM-TREASURY</t>
        </is>
      </c>
      <c r="K13" s="89" t="inlineStr">
        <is>
          <t>ACAM-20260601-001</t>
        </is>
      </c>
      <c r="L13" s="89" t="inlineStr">
        <is>
          <t>B20260601-001</t>
        </is>
      </c>
    </row>
    <row r="14">
      <c r="A14" s="90" t="inlineStr">
        <is>
          <t>2026-06-01</t>
        </is>
      </c>
      <c r="B14" s="90" t="inlineStr">
        <is>
          <t>2026-06-01</t>
        </is>
      </c>
      <c r="C14" s="90" t="inlineStr">
        <is>
          <t>AAA-DL-Y</t>
        </is>
      </c>
      <c r="D14" s="90" t="inlineStr">
        <is>
          <t>S 20986</t>
        </is>
      </c>
      <c r="E14" s="90" t="inlineStr">
        <is>
          <t>AAA-SF1Y</t>
        </is>
      </c>
      <c r="F14" s="93" t="n">
        <v>177734</v>
      </c>
      <c r="G14" s="90" t="inlineStr">
        <is>
          <t>USD</t>
        </is>
      </c>
      <c r="H14" s="90" t="inlineStr">
        <is>
          <t>1010-CASH</t>
        </is>
      </c>
      <c r="I14" s="94" t="inlineStr">
        <is>
          <t>CR</t>
        </is>
      </c>
      <c r="J14" s="90" t="inlineStr">
        <is>
          <t>MUM-TREASURY</t>
        </is>
      </c>
      <c r="K14" s="90" t="inlineStr">
        <is>
          <t>ACAM-20260601-001</t>
        </is>
      </c>
      <c r="L14" s="90" t="inlineStr">
        <is>
          <t>B20260601-001</t>
        </is>
      </c>
    </row>
    <row r="15">
      <c r="A15" s="89" t="inlineStr">
        <is>
          <t>2026-06-01</t>
        </is>
      </c>
      <c r="B15" s="89" t="inlineStr">
        <is>
          <t>2026-06-01</t>
        </is>
      </c>
      <c r="C15" s="89" t="inlineStr">
        <is>
          <t>AAA-AGG</t>
        </is>
      </c>
      <c r="D15" s="89" t="inlineStr">
        <is>
          <t>S 17017</t>
        </is>
      </c>
      <c r="E15" s="89" t="inlineStr">
        <is>
          <t>AAA-IDF-AGG</t>
        </is>
      </c>
      <c r="F15" s="91" t="n">
        <v>-60365</v>
      </c>
      <c r="G15" s="89" t="inlineStr">
        <is>
          <t>USD</t>
        </is>
      </c>
      <c r="H15" s="89" t="inlineStr">
        <is>
          <t>1010-CASH</t>
        </is>
      </c>
      <c r="I15" s="92" t="inlineStr">
        <is>
          <t>DR</t>
        </is>
      </c>
      <c r="J15" s="89" t="inlineStr">
        <is>
          <t>MUM-TREASURY</t>
        </is>
      </c>
      <c r="K15" s="89" t="inlineStr">
        <is>
          <t>ACAM-20260601-002</t>
        </is>
      </c>
      <c r="L15" s="89" t="inlineStr">
        <is>
          <t>B20260601-001</t>
        </is>
      </c>
    </row>
    <row r="16">
      <c r="A16" s="90" t="inlineStr">
        <is>
          <t>2026-06-01</t>
        </is>
      </c>
      <c r="B16" s="90" t="inlineStr">
        <is>
          <t>2026-06-01</t>
        </is>
      </c>
      <c r="C16" s="90" t="inlineStr">
        <is>
          <t>AAA-IDF-AGG</t>
        </is>
      </c>
      <c r="D16" s="90" t="inlineStr">
        <is>
          <t>S 23061</t>
        </is>
      </c>
      <c r="E16" s="90" t="inlineStr">
        <is>
          <t>AAA-AGG</t>
        </is>
      </c>
      <c r="F16" s="93" t="n">
        <v>60365</v>
      </c>
      <c r="G16" s="90" t="inlineStr">
        <is>
          <t>USD</t>
        </is>
      </c>
      <c r="H16" s="90" t="inlineStr">
        <is>
          <t>1010-CASH</t>
        </is>
      </c>
      <c r="I16" s="94" t="inlineStr">
        <is>
          <t>CR</t>
        </is>
      </c>
      <c r="J16" s="90" t="inlineStr">
        <is>
          <t>MUM-TREASURY</t>
        </is>
      </c>
      <c r="K16" s="90" t="inlineStr">
        <is>
          <t>ACAM-20260601-002</t>
        </is>
      </c>
      <c r="L16" s="90" t="inlineStr">
        <is>
          <t>B20260601-001</t>
        </is>
      </c>
    </row>
    <row r="17">
      <c r="A17" s="89" t="inlineStr">
        <is>
          <t>2026-06-01</t>
        </is>
      </c>
      <c r="B17" s="89" t="inlineStr">
        <is>
          <t>2026-06-01</t>
        </is>
      </c>
      <c r="C17" s="89" t="inlineStr">
        <is>
          <t>AAA-SF1Y</t>
        </is>
      </c>
      <c r="D17" s="89" t="inlineStr">
        <is>
          <t>S 19834</t>
        </is>
      </c>
      <c r="E17" s="89" t="inlineStr">
        <is>
          <t>AAA-SF1YS</t>
        </is>
      </c>
      <c r="F17" s="91" t="n">
        <v>-21899</v>
      </c>
      <c r="G17" s="89" t="inlineStr">
        <is>
          <t>USD</t>
        </is>
      </c>
      <c r="H17" s="89" t="inlineStr">
        <is>
          <t>1010-CASH</t>
        </is>
      </c>
      <c r="I17" s="92" t="inlineStr">
        <is>
          <t>DR</t>
        </is>
      </c>
      <c r="J17" s="89" t="inlineStr">
        <is>
          <t>MUM-TREASURY</t>
        </is>
      </c>
      <c r="K17" s="89" t="inlineStr">
        <is>
          <t>ACAM-20260601-003</t>
        </is>
      </c>
      <c r="L17" s="89" t="inlineStr">
        <is>
          <t>B20260601-001</t>
        </is>
      </c>
    </row>
    <row r="18">
      <c r="A18" s="90" t="inlineStr">
        <is>
          <t>2026-06-01</t>
        </is>
      </c>
      <c r="B18" s="90" t="inlineStr">
        <is>
          <t>2026-06-01</t>
        </is>
      </c>
      <c r="C18" s="90" t="inlineStr">
        <is>
          <t>AAA-SF1YS</t>
        </is>
      </c>
      <c r="D18" s="90" t="inlineStr">
        <is>
          <t>S 20680</t>
        </is>
      </c>
      <c r="E18" s="90" t="inlineStr">
        <is>
          <t>AAA-SF1Y</t>
        </is>
      </c>
      <c r="F18" s="93" t="n">
        <v>21899</v>
      </c>
      <c r="G18" s="90" t="inlineStr">
        <is>
          <t>USD</t>
        </is>
      </c>
      <c r="H18" s="90" t="inlineStr">
        <is>
          <t>1010-CASH</t>
        </is>
      </c>
      <c r="I18" s="94" t="inlineStr">
        <is>
          <t>CR</t>
        </is>
      </c>
      <c r="J18" s="90" t="inlineStr">
        <is>
          <t>MUM-TREASURY</t>
        </is>
      </c>
      <c r="K18" s="90" t="inlineStr">
        <is>
          <t>ACAM-20260601-003</t>
        </is>
      </c>
      <c r="L18" s="90" t="inlineStr">
        <is>
          <t>B20260601-001</t>
        </is>
      </c>
    </row>
    <row r="20" ht="8" customHeight="1"/>
    <row r="21">
      <c r="A21" s="12" t="inlineStr">
        <is>
          <t>SPOT FX LOADER  — XLSX Export  (3 conversions)</t>
        </is>
      </c>
    </row>
    <row r="22">
      <c r="A22" s="23" t="inlineStr">
        <is>
          <t>Fund</t>
        </is>
      </c>
      <c r="B22" s="23" t="inlineStr">
        <is>
          <t>Trade Date</t>
        </is>
      </c>
      <c r="C22" s="23" t="inlineStr">
        <is>
          <t>Value Date</t>
        </is>
      </c>
      <c r="D22" s="23" t="inlineStr">
        <is>
          <t>Sell CCY</t>
        </is>
      </c>
      <c r="E22" s="23" t="inlineStr">
        <is>
          <t>Sell Amount</t>
        </is>
      </c>
      <c r="F22" s="23" t="inlineStr">
        <is>
          <t>Buy CCY</t>
        </is>
      </c>
      <c r="G22" s="23" t="inlineStr">
        <is>
          <t>Buy Amount (USD)</t>
        </is>
      </c>
      <c r="H22" s="23" t="inlineStr">
        <is>
          <t>Indicative Rate</t>
        </is>
      </c>
      <c r="I22" s="23" t="inlineStr">
        <is>
          <t>Counterparty</t>
        </is>
      </c>
      <c r="J22" s="23" t="inlineStr">
        <is>
          <t>Reference</t>
        </is>
      </c>
      <c r="K22" s="23" t="inlineStr">
        <is>
          <t>Narrative</t>
        </is>
      </c>
    </row>
    <row r="23">
      <c r="A23" s="89" t="inlineStr">
        <is>
          <t>AAA-LUX-AGG</t>
        </is>
      </c>
      <c r="B23" s="89" t="inlineStr">
        <is>
          <t>2026-06-01</t>
        </is>
      </c>
      <c r="C23" s="89" t="inlineStr">
        <is>
          <t>2026-06-03</t>
        </is>
      </c>
      <c r="D23" s="89" t="inlineStr">
        <is>
          <t>EUR</t>
        </is>
      </c>
      <c r="E23" s="95" t="n">
        <v>70000</v>
      </c>
      <c r="F23" s="89" t="inlineStr">
        <is>
          <t>USD</t>
        </is>
      </c>
      <c r="G23" s="95" t="n">
        <v>76300</v>
      </c>
      <c r="H23" s="96" t="n">
        <v>1.09</v>
      </c>
      <c r="I23" s="89" t="inlineStr">
        <is>
          <t>JP MORGAN FX</t>
        </is>
      </c>
      <c r="J23" s="89" t="inlineStr">
        <is>
          <t>ACAM-FX-20260601-001</t>
        </is>
      </c>
      <c r="K23" s="89" t="inlineStr">
        <is>
          <t>Sell excess EUR — LUX-AGG</t>
        </is>
      </c>
    </row>
    <row r="24">
      <c r="A24" s="90" t="inlineStr">
        <is>
          <t>AAA-MACS-Z</t>
        </is>
      </c>
      <c r="B24" s="90" t="inlineStr">
        <is>
          <t>2026-06-01</t>
        </is>
      </c>
      <c r="C24" s="90" t="inlineStr">
        <is>
          <t>2026-06-03</t>
        </is>
      </c>
      <c r="D24" s="90" t="inlineStr">
        <is>
          <t>EUR</t>
        </is>
      </c>
      <c r="E24" s="97" t="n">
        <v>240000</v>
      </c>
      <c r="F24" s="90" t="inlineStr">
        <is>
          <t>USD</t>
        </is>
      </c>
      <c r="G24" s="97" t="n">
        <v>261600</v>
      </c>
      <c r="H24" s="98" t="n">
        <v>1.09</v>
      </c>
      <c r="I24" s="90" t="inlineStr">
        <is>
          <t>JP MORGAN FX</t>
        </is>
      </c>
      <c r="J24" s="90" t="inlineStr">
        <is>
          <t>ACAM-FX-20260601-002</t>
        </is>
      </c>
      <c r="K24" s="90" t="inlineStr">
        <is>
          <t>Sell excess EUR — MACS-Z</t>
        </is>
      </c>
    </row>
    <row r="25">
      <c r="A25" s="89" t="inlineStr">
        <is>
          <t>AAA-HOSTPLUS-II</t>
        </is>
      </c>
      <c r="B25" s="89" t="inlineStr">
        <is>
          <t>2026-06-01</t>
        </is>
      </c>
      <c r="C25" s="89" t="inlineStr">
        <is>
          <t>2026-06-03</t>
        </is>
      </c>
      <c r="D25" s="89" t="inlineStr">
        <is>
          <t>GBP</t>
        </is>
      </c>
      <c r="E25" s="95" t="n">
        <v>100000</v>
      </c>
      <c r="F25" s="89" t="inlineStr">
        <is>
          <t>USD</t>
        </is>
      </c>
      <c r="G25" s="95" t="n">
        <v>127000</v>
      </c>
      <c r="H25" s="96" t="n">
        <v>1.27</v>
      </c>
      <c r="I25" s="89" t="inlineStr">
        <is>
          <t>JP MORGAN FX</t>
        </is>
      </c>
      <c r="J25" s="89" t="inlineStr">
        <is>
          <t>ACAM-FX-20260601-003</t>
        </is>
      </c>
      <c r="K25" s="89" t="inlineStr">
        <is>
          <t>Sell excess GBP — HOSTPLUS-II</t>
        </is>
      </c>
    </row>
  </sheetData>
  <mergeCells count="5">
    <mergeCell ref="A21:K21"/>
    <mergeCell ref="A4:N4"/>
    <mergeCell ref="A11:L11"/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2" customWidth="1" min="4" max="4"/>
    <col width="6" customWidth="1" min="5" max="5"/>
    <col width="14" customWidth="1" min="6" max="6"/>
    <col width="14" customWidth="1" min="7" max="7"/>
    <col width="16" customWidth="1" min="8" max="8"/>
    <col width="10" customWidth="1" min="9" max="9"/>
    <col width="20" customWidth="1" min="10" max="10"/>
    <col width="10" customWidth="1" min="11" max="11"/>
    <col width="36" customWidth="1" min="12" max="12"/>
  </cols>
  <sheetData>
    <row r="1" ht="36" customHeight="1">
      <c r="A1" s="75" t="inlineStr">
        <is>
          <t>⚙  SETTINGS — ApolloCAM Configuration</t>
        </is>
      </c>
    </row>
    <row r="3">
      <c r="A3" s="99" t="inlineStr">
        <is>
          <t>1 · GLOBAL PARAMETERS</t>
        </is>
      </c>
    </row>
    <row r="4">
      <c r="A4" s="23" t="inlineStr">
        <is>
          <t>PARAMETER</t>
        </is>
      </c>
      <c r="B4" s="23" t="inlineStr">
        <is>
          <t>VALUE</t>
        </is>
      </c>
      <c r="C4" s="23" t="inlineStr">
        <is>
          <t>DESCRIPTION</t>
        </is>
      </c>
    </row>
    <row r="5">
      <c r="A5" s="15" t="inlineStr">
        <is>
          <t>AMBER_BUFFER</t>
        </is>
      </c>
      <c r="B5" s="34" t="n">
        <v>1.1</v>
      </c>
      <c r="C5" s="100" t="inlineStr">
        <is>
          <t>Multiplier of floor defining the AMBER zone upper boundary</t>
        </is>
      </c>
    </row>
    <row r="6">
      <c r="A6" s="19" t="inlineStr">
        <is>
          <t>SPOT_VALUE_LAG_DAYS</t>
        </is>
      </c>
      <c r="B6" s="37" t="n">
        <v>2</v>
      </c>
      <c r="C6" s="101" t="inlineStr">
        <is>
          <t>Business days to add for spot FX value date (T+N)</t>
        </is>
      </c>
    </row>
    <row r="7">
      <c r="A7" s="15" t="inlineStr">
        <is>
          <t>FX_STALE_DAYS</t>
        </is>
      </c>
      <c r="B7" s="34" t="n">
        <v>1</v>
      </c>
      <c r="C7" s="100" t="inlineStr">
        <is>
          <t>Alert if FX rate is older than this many days</t>
        </is>
      </c>
    </row>
    <row r="8">
      <c r="A8" s="19" t="inlineStr">
        <is>
          <t>DL_EMAIL</t>
        </is>
      </c>
      <c r="B8" s="37" t="inlineStr">
        <is>
          <t>cash_mgmt_dl@apollo.com</t>
        </is>
      </c>
      <c r="C8" s="101" t="inlineStr">
        <is>
          <t>Distribution list for daily digest</t>
        </is>
      </c>
    </row>
    <row r="9">
      <c r="A9" s="15" t="inlineStr">
        <is>
          <t>CONTROLLER_EMAIL</t>
        </is>
      </c>
      <c r="B9" s="34" t="inlineStr">
        <is>
          <t>a.shinde@apollo.com</t>
        </is>
      </c>
      <c r="C9" s="100" t="inlineStr">
        <is>
          <t>Controller CC on all alerts</t>
        </is>
      </c>
    </row>
    <row r="10">
      <c r="A10" s="19" t="inlineStr">
        <is>
          <t>DIGEST_ENABLED</t>
        </is>
      </c>
      <c r="B10" s="37" t="inlineStr">
        <is>
          <t>TRUE</t>
        </is>
      </c>
      <c r="C10" s="101" t="inlineStr">
        <is>
          <t>Enable automated daily digest email</t>
        </is>
      </c>
    </row>
    <row r="11">
      <c r="A11" s="15" t="inlineStr">
        <is>
          <t>ALERT_ONLY_WHEN_RED</t>
        </is>
      </c>
      <c r="B11" s="34" t="inlineStr">
        <is>
          <t>TRUE</t>
        </is>
      </c>
      <c r="C11" s="100" t="inlineStr">
        <is>
          <t>Only alert when fund status is RED</t>
        </is>
      </c>
    </row>
    <row r="12">
      <c r="A12" s="19" t="inlineStr">
        <is>
          <t>MAX_ALERTS_PER_FUND_PER_DAY</t>
        </is>
      </c>
      <c r="B12" s="37" t="inlineStr">
        <is>
          <t>1</t>
        </is>
      </c>
      <c r="C12" s="101" t="inlineStr">
        <is>
          <t>Maximum threshold alerts per fund per day</t>
        </is>
      </c>
    </row>
    <row r="13">
      <c r="A13" s="15" t="inlineStr">
        <is>
          <t>ADMIN_PASSWORD</t>
        </is>
      </c>
      <c r="B13" s="34" t="inlineStr">
        <is>
          <t>ApolloAdmin2026</t>
        </is>
      </c>
      <c r="C13" s="100" t="inlineStr">
        <is>
          <t>Required to unlock Settings and override Loaders</t>
        </is>
      </c>
    </row>
    <row r="16">
      <c r="A16" s="99" t="inlineStr">
        <is>
          <t>2 · FUND MASTER  (11 Active Funds)</t>
        </is>
      </c>
    </row>
    <row r="17">
      <c r="A17" s="23" t="inlineStr">
        <is>
          <t>Fund Code</t>
        </is>
      </c>
      <c r="B17" s="23" t="inlineStr">
        <is>
          <t>Fund Name</t>
        </is>
      </c>
      <c r="C17" s="23" t="inlineStr">
        <is>
          <t>Type</t>
        </is>
      </c>
      <c r="D17" s="23" t="inlineStr">
        <is>
          <t>CCY</t>
        </is>
      </c>
      <c r="E17" s="23" t="inlineStr">
        <is>
          <t>Floor (USD)</t>
        </is>
      </c>
      <c r="F17" s="23" t="inlineStr">
        <is>
          <t>Ceiling (USD)</t>
        </is>
      </c>
      <c r="G17" s="23" t="inlineStr">
        <is>
          <t>Routing Source</t>
        </is>
      </c>
      <c r="H17" s="23" t="inlineStr">
        <is>
          <t>SSI Account</t>
        </is>
      </c>
      <c r="I17" s="23" t="inlineStr">
        <is>
          <t>SSI Bank</t>
        </is>
      </c>
      <c r="J17" s="23" t="inlineStr">
        <is>
          <t>SSI BIC</t>
        </is>
      </c>
      <c r="K17" s="23" t="inlineStr">
        <is>
          <t>SSI Entity</t>
        </is>
      </c>
    </row>
    <row r="18">
      <c r="A18" s="102" t="inlineStr">
        <is>
          <t>AAA-AGG</t>
        </is>
      </c>
      <c r="B18" s="102" t="inlineStr">
        <is>
          <t>Apollo Aligned Alternatives Aggregator, L.P.</t>
        </is>
      </c>
      <c r="C18" s="102" t="inlineStr">
        <is>
          <t>Aggregator</t>
        </is>
      </c>
      <c r="D18" s="102" t="inlineStr">
        <is>
          <t>USD</t>
        </is>
      </c>
      <c r="E18" s="103" t="n">
        <v>1500000</v>
      </c>
      <c r="F18" s="103" t="n">
        <v>3000000</v>
      </c>
      <c r="G18" s="102" t="inlineStr"/>
      <c r="H18" s="102" t="inlineStr">
        <is>
          <t>S 17017</t>
        </is>
      </c>
      <c r="I18" s="102" t="inlineStr">
        <is>
          <t>JPMORGAN CHASE NA</t>
        </is>
      </c>
      <c r="J18" s="102" t="inlineStr">
        <is>
          <t>CHASUS33</t>
        </is>
      </c>
      <c r="K18" s="102" t="inlineStr">
        <is>
          <t>APOLLO ALIGNED ALTERNATIVES AGR LP</t>
        </is>
      </c>
    </row>
    <row r="19">
      <c r="A19" s="104" t="inlineStr">
        <is>
          <t>AAA-LUX-AGG</t>
        </is>
      </c>
      <c r="B19" s="104" t="inlineStr">
        <is>
          <t>AAA Lux Aggregator, L.P.</t>
        </is>
      </c>
      <c r="C19" s="104" t="inlineStr">
        <is>
          <t>Aggregator</t>
        </is>
      </c>
      <c r="D19" s="104" t="inlineStr">
        <is>
          <t>USD</t>
        </is>
      </c>
      <c r="E19" s="105" t="n">
        <v>500000</v>
      </c>
      <c r="F19" s="105" t="n">
        <v>1000000</v>
      </c>
      <c r="G19" s="104" t="inlineStr"/>
      <c r="H19" s="104" t="inlineStr">
        <is>
          <t>S 20454</t>
        </is>
      </c>
      <c r="I19" s="104" t="inlineStr">
        <is>
          <t>JPMORGAN CHASE NA</t>
        </is>
      </c>
      <c r="J19" s="104" t="inlineStr">
        <is>
          <t>CHASUS33</t>
        </is>
      </c>
      <c r="K19" s="104" t="inlineStr">
        <is>
          <t>AAA LUX AGGREGATOR LP</t>
        </is>
      </c>
    </row>
    <row r="20">
      <c r="A20" s="102" t="inlineStr">
        <is>
          <t>AAA-IDF-AGG</t>
        </is>
      </c>
      <c r="B20" s="102" t="inlineStr">
        <is>
          <t>AAA IDF, L.P.</t>
        </is>
      </c>
      <c r="C20" s="102" t="inlineStr">
        <is>
          <t>Aggregator</t>
        </is>
      </c>
      <c r="D20" s="102" t="inlineStr">
        <is>
          <t>USD</t>
        </is>
      </c>
      <c r="E20" s="103" t="n">
        <v>150000</v>
      </c>
      <c r="F20" s="103" t="n">
        <v>400000</v>
      </c>
      <c r="G20" s="102" t="inlineStr">
        <is>
          <t>AAA-AGG</t>
        </is>
      </c>
      <c r="H20" s="102" t="inlineStr">
        <is>
          <t>S 23061</t>
        </is>
      </c>
      <c r="I20" s="102" t="inlineStr">
        <is>
          <t>JPMORGAN CHASE NA</t>
        </is>
      </c>
      <c r="J20" s="102" t="inlineStr">
        <is>
          <t>CHASUS33</t>
        </is>
      </c>
      <c r="K20" s="102" t="inlineStr">
        <is>
          <t>AAA IDF LP</t>
        </is>
      </c>
    </row>
    <row r="21">
      <c r="A21" s="104" t="inlineStr">
        <is>
          <t>AAA-SF1Y</t>
        </is>
      </c>
      <c r="B21" s="104" t="inlineStr">
        <is>
          <t>AAA Sub Fund 1-Y, L.P.</t>
        </is>
      </c>
      <c r="C21" s="104" t="inlineStr">
        <is>
          <t>Sub-Fund</t>
        </is>
      </c>
      <c r="D21" s="104" t="inlineStr">
        <is>
          <t>USD</t>
        </is>
      </c>
      <c r="E21" s="105" t="n">
        <v>2000000</v>
      </c>
      <c r="F21" s="105" t="n">
        <v>5000000</v>
      </c>
      <c r="G21" s="104" t="inlineStr">
        <is>
          <t>AAA-AGG</t>
        </is>
      </c>
      <c r="H21" s="104" t="inlineStr">
        <is>
          <t>S 19834</t>
        </is>
      </c>
      <c r="I21" s="104" t="inlineStr">
        <is>
          <t>JPMORGAN CHASE NA</t>
        </is>
      </c>
      <c r="J21" s="104" t="inlineStr">
        <is>
          <t>CHASUS33</t>
        </is>
      </c>
      <c r="K21" s="104" t="inlineStr">
        <is>
          <t>AAA SUB FUND 1-Y LP INV ACC FBO WFG</t>
        </is>
      </c>
    </row>
    <row r="22">
      <c r="A22" s="102" t="inlineStr">
        <is>
          <t>AAA-MACS-Z</t>
        </is>
      </c>
      <c r="B22" s="102" t="inlineStr">
        <is>
          <t>AAA Multi-Asset Credit Strategies (Z), L.P.</t>
        </is>
      </c>
      <c r="C22" s="102" t="inlineStr">
        <is>
          <t>Sub-Fund</t>
        </is>
      </c>
      <c r="D22" s="102" t="inlineStr">
        <is>
          <t>USD</t>
        </is>
      </c>
      <c r="E22" s="103" t="n">
        <v>250000</v>
      </c>
      <c r="F22" s="103" t="n">
        <v>650000</v>
      </c>
      <c r="G22" s="102" t="inlineStr">
        <is>
          <t>AAA-AGG</t>
        </is>
      </c>
      <c r="H22" s="102" t="inlineStr">
        <is>
          <t>S 20510</t>
        </is>
      </c>
      <c r="I22" s="102" t="inlineStr">
        <is>
          <t>JPMORGAN CHASE NA</t>
        </is>
      </c>
      <c r="J22" s="102" t="inlineStr">
        <is>
          <t>CHASUS33</t>
        </is>
      </c>
      <c r="K22" s="102" t="inlineStr">
        <is>
          <t>AAA MULTI-ASSET CREDIT STRATEGIES Z LP</t>
        </is>
      </c>
    </row>
    <row r="23">
      <c r="A23" s="104" t="inlineStr">
        <is>
          <t>AAA-DL-Y</t>
        </is>
      </c>
      <c r="B23" s="104" t="inlineStr">
        <is>
          <t>AAA Direct Lending (Y), L.P.</t>
        </is>
      </c>
      <c r="C23" s="104" t="inlineStr">
        <is>
          <t>Sub-Fund</t>
        </is>
      </c>
      <c r="D23" s="104" t="inlineStr">
        <is>
          <t>USD</t>
        </is>
      </c>
      <c r="E23" s="105" t="n">
        <v>100000</v>
      </c>
      <c r="F23" s="105" t="n">
        <v>300000</v>
      </c>
      <c r="G23" s="104" t="inlineStr">
        <is>
          <t>AAA-SF1Y</t>
        </is>
      </c>
      <c r="H23" s="104" t="inlineStr">
        <is>
          <t>S 20986</t>
        </is>
      </c>
      <c r="I23" s="104" t="inlineStr">
        <is>
          <t>JPMORGAN CHASE NA</t>
        </is>
      </c>
      <c r="J23" s="104" t="inlineStr">
        <is>
          <t>CHASUS33</t>
        </is>
      </c>
      <c r="K23" s="104" t="inlineStr">
        <is>
          <t>AAA DIRECT LENDING Y LP</t>
        </is>
      </c>
    </row>
    <row r="24">
      <c r="A24" s="102" t="inlineStr">
        <is>
          <t>AAA-HOSTPLUS-II</t>
        </is>
      </c>
      <c r="B24" s="102" t="inlineStr">
        <is>
          <t>Apollo HostPlus Credit II Holdings II, L.P.</t>
        </is>
      </c>
      <c r="C24" s="102" t="inlineStr">
        <is>
          <t>Sub-Fund</t>
        </is>
      </c>
      <c r="D24" s="102" t="inlineStr">
        <is>
          <t>USD</t>
        </is>
      </c>
      <c r="E24" s="103" t="n">
        <v>400000</v>
      </c>
      <c r="F24" s="103" t="n">
        <v>600000</v>
      </c>
      <c r="G24" s="102" t="inlineStr">
        <is>
          <t>AAA-AGG</t>
        </is>
      </c>
      <c r="H24" s="102" t="inlineStr">
        <is>
          <t>S 22917</t>
        </is>
      </c>
      <c r="I24" s="102" t="inlineStr">
        <is>
          <t>JPMORGAN CHASE NA</t>
        </is>
      </c>
      <c r="J24" s="102" t="inlineStr">
        <is>
          <t>CHASUS33</t>
        </is>
      </c>
      <c r="K24" s="102" t="inlineStr">
        <is>
          <t>APOLLO HOSTPLUS CREDIT II HOLDINGS II LP</t>
        </is>
      </c>
    </row>
    <row r="25">
      <c r="A25" s="104" t="inlineStr">
        <is>
          <t>AAA-SF4Z</t>
        </is>
      </c>
      <c r="B25" s="104" t="inlineStr">
        <is>
          <t>AAA Sub Fund 4-Z, L.P.</t>
        </is>
      </c>
      <c r="C25" s="104" t="inlineStr">
        <is>
          <t>Sub-Fund</t>
        </is>
      </c>
      <c r="D25" s="104" t="inlineStr">
        <is>
          <t>USD</t>
        </is>
      </c>
      <c r="E25" s="105" t="n">
        <v>115000</v>
      </c>
      <c r="F25" s="105" t="n">
        <v>250000</v>
      </c>
      <c r="G25" s="104" t="inlineStr">
        <is>
          <t>AAA-AGG</t>
        </is>
      </c>
      <c r="H25" s="104" t="inlineStr">
        <is>
          <t>S 19838</t>
        </is>
      </c>
      <c r="I25" s="104" t="inlineStr">
        <is>
          <t>JPMORGAN CHASE NA</t>
        </is>
      </c>
      <c r="J25" s="104" t="inlineStr">
        <is>
          <t>CHASUS33</t>
        </is>
      </c>
      <c r="K25" s="104" t="inlineStr">
        <is>
          <t>AAA SUB FUND 4-Z LP INV ACC FBO WFG</t>
        </is>
      </c>
    </row>
    <row r="26">
      <c r="A26" s="102" t="inlineStr">
        <is>
          <t>AAA-SF2Y</t>
        </is>
      </c>
      <c r="B26" s="102" t="inlineStr">
        <is>
          <t>AAA Sub Fund 2-Y, L.P.</t>
        </is>
      </c>
      <c r="C26" s="102" t="inlineStr">
        <is>
          <t>Sub-Fund</t>
        </is>
      </c>
      <c r="D26" s="102" t="inlineStr">
        <is>
          <t>USD</t>
        </is>
      </c>
      <c r="E26" s="103" t="n">
        <v>110000</v>
      </c>
      <c r="F26" s="103" t="n">
        <v>300000</v>
      </c>
      <c r="G26" s="102" t="inlineStr">
        <is>
          <t>AAA-AGG</t>
        </is>
      </c>
      <c r="H26" s="102" t="inlineStr">
        <is>
          <t>S 19836</t>
        </is>
      </c>
      <c r="I26" s="102" t="inlineStr">
        <is>
          <t>JPMORGAN CHASE NA</t>
        </is>
      </c>
      <c r="J26" s="102" t="inlineStr">
        <is>
          <t>CHASUS33</t>
        </is>
      </c>
      <c r="K26" s="102" t="inlineStr">
        <is>
          <t>AAA SUB FUND 2-Y LP INV ACC FBO WFG</t>
        </is>
      </c>
    </row>
    <row r="27">
      <c r="A27" s="104" t="inlineStr">
        <is>
          <t>AAA-SF1YS</t>
        </is>
      </c>
      <c r="B27" s="104" t="inlineStr">
        <is>
          <t>AAA Sub Fund 1-YS, L.P.</t>
        </is>
      </c>
      <c r="C27" s="104" t="inlineStr">
        <is>
          <t>Sub-Fund</t>
        </is>
      </c>
      <c r="D27" s="104" t="inlineStr">
        <is>
          <t>USD</t>
        </is>
      </c>
      <c r="E27" s="105" t="n">
        <v>75000</v>
      </c>
      <c r="F27" s="105" t="n">
        <v>200000</v>
      </c>
      <c r="G27" s="104" t="inlineStr">
        <is>
          <t>AAA-SF1Y</t>
        </is>
      </c>
      <c r="H27" s="104" t="inlineStr">
        <is>
          <t>S 20680</t>
        </is>
      </c>
      <c r="I27" s="104" t="inlineStr">
        <is>
          <t>JPMORGAN CHASE NA</t>
        </is>
      </c>
      <c r="J27" s="104" t="inlineStr">
        <is>
          <t>CHASUS33</t>
        </is>
      </c>
      <c r="K27" s="104" t="inlineStr">
        <is>
          <t>AAA SUB FUND 1-YS LP INV FBO WELLS FARGO</t>
        </is>
      </c>
    </row>
    <row r="28">
      <c r="A28" s="102" t="inlineStr">
        <is>
          <t>AAA-LIBRA</t>
        </is>
      </c>
      <c r="B28" s="102" t="inlineStr">
        <is>
          <t>Apollo Libra Credit Opportunities Fund, L.P.</t>
        </is>
      </c>
      <c r="C28" s="102" t="inlineStr">
        <is>
          <t>Sub-Fund</t>
        </is>
      </c>
      <c r="D28" s="102" t="inlineStr">
        <is>
          <t>USD</t>
        </is>
      </c>
      <c r="E28" s="103" t="n">
        <v>50000</v>
      </c>
      <c r="F28" s="103" t="n">
        <v>120000</v>
      </c>
      <c r="G28" s="102" t="inlineStr">
        <is>
          <t>AAA-AGG</t>
        </is>
      </c>
      <c r="H28" s="102" t="inlineStr">
        <is>
          <t>S 20404</t>
        </is>
      </c>
      <c r="I28" s="102" t="inlineStr">
        <is>
          <t>JPMORGAN CHASE NA</t>
        </is>
      </c>
      <c r="J28" s="102" t="inlineStr">
        <is>
          <t>CHASUS33</t>
        </is>
      </c>
      <c r="K28" s="102" t="inlineStr">
        <is>
          <t>APOLLO LIBRA CREDIT OPPORTUNITIES FUND LP</t>
        </is>
      </c>
    </row>
    <row r="30">
      <c r="A30" s="99" t="inlineStr">
        <is>
          <t>3 · SPOT FX THRESHOLDS</t>
        </is>
      </c>
    </row>
    <row r="31">
      <c r="A31" s="51" t="inlineStr">
        <is>
          <t>Fund Code</t>
        </is>
      </c>
      <c r="B31" s="51" t="inlineStr">
        <is>
          <t>Currency</t>
        </is>
      </c>
      <c r="C31" s="51" t="inlineStr">
        <is>
          <t>Min Hold (Local)</t>
        </is>
      </c>
      <c r="D31" s="51" t="inlineStr">
        <is>
          <t>Auto Propose</t>
        </is>
      </c>
      <c r="E31" s="51" t="inlineStr">
        <is>
          <t>FX Counterparty</t>
        </is>
      </c>
      <c r="F31" s="51" t="inlineStr">
        <is>
          <t>Settlement Account</t>
        </is>
      </c>
    </row>
    <row r="32">
      <c r="A32" s="89" t="inlineStr">
        <is>
          <t>AAA-LUX-AGG</t>
        </is>
      </c>
      <c r="B32" s="89" t="inlineStr">
        <is>
          <t>EUR</t>
        </is>
      </c>
      <c r="C32" s="106" t="n">
        <v>50000</v>
      </c>
      <c r="D32" s="89" t="inlineStr">
        <is>
          <t>YES</t>
        </is>
      </c>
      <c r="E32" s="89" t="inlineStr">
        <is>
          <t>JP MORGAN FX</t>
        </is>
      </c>
      <c r="F32" s="89" t="inlineStr">
        <is>
          <t>JPEUR-LUXAGG-001</t>
        </is>
      </c>
    </row>
    <row r="33">
      <c r="A33" s="90" t="inlineStr">
        <is>
          <t>AAA-MACS-Z</t>
        </is>
      </c>
      <c r="B33" s="90" t="inlineStr">
        <is>
          <t>EUR</t>
        </is>
      </c>
      <c r="C33" s="107" t="n">
        <v>100000</v>
      </c>
      <c r="D33" s="90" t="inlineStr">
        <is>
          <t>YES</t>
        </is>
      </c>
      <c r="E33" s="90" t="inlineStr">
        <is>
          <t>JP MORGAN FX</t>
        </is>
      </c>
      <c r="F33" s="90" t="inlineStr">
        <is>
          <t>JPEUR-MACSZ-001</t>
        </is>
      </c>
    </row>
    <row r="34">
      <c r="A34" s="89" t="inlineStr">
        <is>
          <t>AAA-HOSTPLUS-II</t>
        </is>
      </c>
      <c r="B34" s="89" t="inlineStr">
        <is>
          <t>GBP</t>
        </is>
      </c>
      <c r="C34" s="106" t="n">
        <v>50000</v>
      </c>
      <c r="D34" s="89" t="inlineStr">
        <is>
          <t>YES</t>
        </is>
      </c>
      <c r="E34" s="89" t="inlineStr">
        <is>
          <t>JP MORGAN FX</t>
        </is>
      </c>
      <c r="F34" s="89" t="inlineStr">
        <is>
          <t>JPGBP-HOSTII-001</t>
        </is>
      </c>
    </row>
    <row r="36">
      <c r="A36" s="99" t="inlineStr">
        <is>
          <t>4 · FX RATES  (Base → USD)</t>
        </is>
      </c>
    </row>
    <row r="37">
      <c r="A37" s="51" t="inlineStr">
        <is>
          <t>Base CCY</t>
        </is>
      </c>
      <c r="B37" s="51" t="inlineStr">
        <is>
          <t>Quote CCY</t>
        </is>
      </c>
      <c r="C37" s="51" t="inlineStr">
        <is>
          <t>Rate</t>
        </is>
      </c>
      <c r="D37" s="51" t="inlineStr">
        <is>
          <t>Rate Date</t>
        </is>
      </c>
    </row>
    <row r="38">
      <c r="A38" s="34" t="inlineStr">
        <is>
          <t>EUR</t>
        </is>
      </c>
      <c r="B38" s="34" t="inlineStr">
        <is>
          <t>USD</t>
        </is>
      </c>
      <c r="C38" s="108" t="n">
        <v>1.09</v>
      </c>
      <c r="D38" s="34" t="inlineStr">
        <is>
          <t>2026-06-01</t>
        </is>
      </c>
    </row>
    <row r="39">
      <c r="A39" s="37" t="inlineStr">
        <is>
          <t>GBP</t>
        </is>
      </c>
      <c r="B39" s="37" t="inlineStr">
        <is>
          <t>USD</t>
        </is>
      </c>
      <c r="C39" s="109" t="n">
        <v>1.27</v>
      </c>
      <c r="D39" s="37" t="inlineStr">
        <is>
          <t>2026-06-01</t>
        </is>
      </c>
    </row>
    <row r="40">
      <c r="A40" s="34" t="inlineStr">
        <is>
          <t>USD</t>
        </is>
      </c>
      <c r="B40" s="34" t="inlineStr">
        <is>
          <t>USD</t>
        </is>
      </c>
      <c r="C40" s="108" t="n">
        <v>1</v>
      </c>
      <c r="D40" s="34" t="inlineStr">
        <is>
          <t>2026-06-01</t>
        </is>
      </c>
    </row>
  </sheetData>
  <mergeCells count="5">
    <mergeCell ref="A1:C1"/>
    <mergeCell ref="A16:K16"/>
    <mergeCell ref="A3:C3"/>
    <mergeCell ref="A30:F30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BD5E1"/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110" t="inlineStr">
        <is>
          <t>_DATA — Raw Position Import  |  Do not edit formulas in columns F–G</t>
        </is>
      </c>
    </row>
    <row r="2">
      <c r="A2" s="111" t="inlineStr">
        <is>
          <t>As-of: 2026-06-01  |  Seed: June 2026  |  Replace rows 4-50 with new position file daily</t>
        </is>
      </c>
    </row>
    <row r="3">
      <c r="A3" s="23" t="inlineStr">
        <is>
          <t>Fund Code</t>
        </is>
      </c>
      <c r="B3" s="23" t="inlineStr">
        <is>
          <t>Account Name</t>
        </is>
      </c>
      <c r="C3" s="23" t="inlineStr">
        <is>
          <t>Report Date</t>
        </is>
      </c>
      <c r="D3" s="23" t="inlineStr">
        <is>
          <t>CCY</t>
        </is>
      </c>
      <c r="E3" s="23" t="inlineStr">
        <is>
          <t>Local Balance</t>
        </is>
      </c>
      <c r="F3" s="23" t="inlineStr">
        <is>
          <t>FX Rate (→USD)</t>
        </is>
      </c>
      <c r="G3" s="23" t="inlineStr">
        <is>
          <t>Functional USD</t>
        </is>
      </c>
    </row>
    <row r="4">
      <c r="A4" s="89" t="inlineStr">
        <is>
          <t>AAA-AGG</t>
        </is>
      </c>
      <c r="B4" s="89" t="inlineStr">
        <is>
          <t>Operating USD</t>
        </is>
      </c>
      <c r="C4" s="89" t="inlineStr">
        <is>
          <t>2026-06-01</t>
        </is>
      </c>
      <c r="D4" s="89" t="inlineStr">
        <is>
          <t>USD</t>
        </is>
      </c>
      <c r="E4" s="112" t="n">
        <v>2192987</v>
      </c>
      <c r="F4" s="113" t="n">
        <v>1</v>
      </c>
      <c r="G4" s="114" t="n">
        <v>2192987</v>
      </c>
    </row>
    <row r="5">
      <c r="A5" s="90" t="inlineStr">
        <is>
          <t>AAA-LUX-AGG</t>
        </is>
      </c>
      <c r="B5" s="90" t="inlineStr">
        <is>
          <t>Operating USD</t>
        </is>
      </c>
      <c r="C5" s="90" t="inlineStr">
        <is>
          <t>2026-06-01</t>
        </is>
      </c>
      <c r="D5" s="90" t="inlineStr">
        <is>
          <t>USD</t>
        </is>
      </c>
      <c r="E5" s="115" t="n">
        <v>632859</v>
      </c>
      <c r="F5" s="116" t="n">
        <v>1</v>
      </c>
      <c r="G5" s="117" t="n">
        <v>632859</v>
      </c>
    </row>
    <row r="6">
      <c r="A6" s="89" t="inlineStr">
        <is>
          <t>AAA-LUX-AGG</t>
        </is>
      </c>
      <c r="B6" s="89" t="inlineStr">
        <is>
          <t>EUR Account</t>
        </is>
      </c>
      <c r="C6" s="89" t="inlineStr">
        <is>
          <t>2026-06-01</t>
        </is>
      </c>
      <c r="D6" s="89" t="inlineStr">
        <is>
          <t>EUR</t>
        </is>
      </c>
      <c r="E6" s="112" t="n">
        <v>120000</v>
      </c>
      <c r="F6" s="113" t="n">
        <v>1.09</v>
      </c>
      <c r="G6" s="114" t="n">
        <v>130800</v>
      </c>
    </row>
    <row r="7">
      <c r="A7" s="90" t="inlineStr">
        <is>
          <t>AAA-IDF-AGG</t>
        </is>
      </c>
      <c r="B7" s="90" t="inlineStr">
        <is>
          <t>Operating USD</t>
        </is>
      </c>
      <c r="C7" s="90" t="inlineStr">
        <is>
          <t>2026-06-01</t>
        </is>
      </c>
      <c r="D7" s="90" t="inlineStr">
        <is>
          <t>USD</t>
        </is>
      </c>
      <c r="E7" s="115" t="n">
        <v>89635</v>
      </c>
      <c r="F7" s="116" t="n">
        <v>1</v>
      </c>
      <c r="G7" s="117" t="n">
        <v>89635</v>
      </c>
    </row>
    <row r="8">
      <c r="A8" s="89" t="inlineStr">
        <is>
          <t>AAA-SF1Y</t>
        </is>
      </c>
      <c r="B8" s="89" t="inlineStr">
        <is>
          <t>Operating USD</t>
        </is>
      </c>
      <c r="C8" s="89" t="inlineStr">
        <is>
          <t>2026-06-01</t>
        </is>
      </c>
      <c r="D8" s="89" t="inlineStr">
        <is>
          <t>USD</t>
        </is>
      </c>
      <c r="E8" s="112" t="n">
        <v>9281309</v>
      </c>
      <c r="F8" s="113" t="n">
        <v>1</v>
      </c>
      <c r="G8" s="114" t="n">
        <v>9281309</v>
      </c>
    </row>
    <row r="9">
      <c r="A9" s="90" t="inlineStr">
        <is>
          <t>AAA-MACS-Z</t>
        </is>
      </c>
      <c r="B9" s="90" t="inlineStr">
        <is>
          <t>Operating USD</t>
        </is>
      </c>
      <c r="C9" s="90" t="inlineStr">
        <is>
          <t>2026-06-01</t>
        </is>
      </c>
      <c r="D9" s="90" t="inlineStr">
        <is>
          <t>USD</t>
        </is>
      </c>
      <c r="E9" s="115" t="n">
        <v>208430</v>
      </c>
      <c r="F9" s="116" t="n">
        <v>1</v>
      </c>
      <c r="G9" s="117" t="n">
        <v>208430</v>
      </c>
    </row>
    <row r="10">
      <c r="A10" s="89" t="inlineStr">
        <is>
          <t>AAA-MACS-Z</t>
        </is>
      </c>
      <c r="B10" s="89" t="inlineStr">
        <is>
          <t>EUR Account</t>
        </is>
      </c>
      <c r="C10" s="89" t="inlineStr">
        <is>
          <t>2026-06-01</t>
        </is>
      </c>
      <c r="D10" s="89" t="inlineStr">
        <is>
          <t>EUR</t>
        </is>
      </c>
      <c r="E10" s="112" t="n">
        <v>340000</v>
      </c>
      <c r="F10" s="113" t="n">
        <v>1.09</v>
      </c>
      <c r="G10" s="114" t="n">
        <v>370600</v>
      </c>
    </row>
    <row r="11">
      <c r="A11" s="90" t="inlineStr">
        <is>
          <t>AAA-DL-Y</t>
        </is>
      </c>
      <c r="B11" s="90" t="inlineStr">
        <is>
          <t>Operating USD</t>
        </is>
      </c>
      <c r="C11" s="90" t="inlineStr">
        <is>
          <t>2026-06-01</t>
        </is>
      </c>
      <c r="D11" s="90" t="inlineStr">
        <is>
          <t>USD</t>
        </is>
      </c>
      <c r="E11" s="115" t="n">
        <v>-77734</v>
      </c>
      <c r="F11" s="116" t="n">
        <v>1</v>
      </c>
      <c r="G11" s="117" t="n">
        <v>-77734</v>
      </c>
    </row>
    <row r="12">
      <c r="A12" s="89" t="inlineStr">
        <is>
          <t>AAA-HOSTPLUS-II</t>
        </is>
      </c>
      <c r="B12" s="89" t="inlineStr">
        <is>
          <t>Operating USD</t>
        </is>
      </c>
      <c r="C12" s="89" t="inlineStr">
        <is>
          <t>2026-06-01</t>
        </is>
      </c>
      <c r="D12" s="89" t="inlineStr">
        <is>
          <t>USD</t>
        </is>
      </c>
      <c r="E12" s="112" t="n">
        <v>388310</v>
      </c>
      <c r="F12" s="113" t="n">
        <v>1</v>
      </c>
      <c r="G12" s="114" t="n">
        <v>388310</v>
      </c>
    </row>
    <row r="13">
      <c r="A13" s="90" t="inlineStr">
        <is>
          <t>AAA-HOSTPLUS-II</t>
        </is>
      </c>
      <c r="B13" s="90" t="inlineStr">
        <is>
          <t>GBP Account</t>
        </is>
      </c>
      <c r="C13" s="90" t="inlineStr">
        <is>
          <t>2026-06-01</t>
        </is>
      </c>
      <c r="D13" s="90" t="inlineStr">
        <is>
          <t>GBP</t>
        </is>
      </c>
      <c r="E13" s="115" t="n">
        <v>150000</v>
      </c>
      <c r="F13" s="116" t="n">
        <v>1.27</v>
      </c>
      <c r="G13" s="117" t="n">
        <v>190500</v>
      </c>
    </row>
    <row r="14">
      <c r="A14" s="89" t="inlineStr">
        <is>
          <t>AAA-SF4Z</t>
        </is>
      </c>
      <c r="B14" s="89" t="inlineStr">
        <is>
          <t>Operating USD</t>
        </is>
      </c>
      <c r="C14" s="89" t="inlineStr">
        <is>
          <t>2026-06-01</t>
        </is>
      </c>
      <c r="D14" s="89" t="inlineStr">
        <is>
          <t>USD</t>
        </is>
      </c>
      <c r="E14" s="112" t="n">
        <v>121002</v>
      </c>
      <c r="F14" s="113" t="n">
        <v>1</v>
      </c>
      <c r="G14" s="114" t="n">
        <v>121002</v>
      </c>
    </row>
    <row r="15">
      <c r="A15" s="90" t="inlineStr">
        <is>
          <t>AAA-SF2Y</t>
        </is>
      </c>
      <c r="B15" s="90" t="inlineStr">
        <is>
          <t>Operating USD</t>
        </is>
      </c>
      <c r="C15" s="90" t="inlineStr">
        <is>
          <t>2026-06-01</t>
        </is>
      </c>
      <c r="D15" s="90" t="inlineStr">
        <is>
          <t>USD</t>
        </is>
      </c>
      <c r="E15" s="115" t="n">
        <v>114913</v>
      </c>
      <c r="F15" s="116" t="n">
        <v>1</v>
      </c>
      <c r="G15" s="117" t="n">
        <v>114913</v>
      </c>
    </row>
    <row r="16">
      <c r="A16" s="89" t="inlineStr">
        <is>
          <t>AAA-SF1YS</t>
        </is>
      </c>
      <c r="B16" s="89" t="inlineStr">
        <is>
          <t>Operating USD</t>
        </is>
      </c>
      <c r="C16" s="89" t="inlineStr">
        <is>
          <t>2026-06-01</t>
        </is>
      </c>
      <c r="D16" s="89" t="inlineStr">
        <is>
          <t>USD</t>
        </is>
      </c>
      <c r="E16" s="112" t="n">
        <v>53101</v>
      </c>
      <c r="F16" s="113" t="n">
        <v>1</v>
      </c>
      <c r="G16" s="114" t="n">
        <v>53101</v>
      </c>
    </row>
    <row r="17">
      <c r="A17" s="90" t="inlineStr">
        <is>
          <t>AAA-LIBRA</t>
        </is>
      </c>
      <c r="B17" s="90" t="inlineStr">
        <is>
          <t>Operating USD</t>
        </is>
      </c>
      <c r="C17" s="90" t="inlineStr">
        <is>
          <t>2026-06-01</t>
        </is>
      </c>
      <c r="D17" s="90" t="inlineStr">
        <is>
          <t>USD</t>
        </is>
      </c>
      <c r="E17" s="115" t="n">
        <v>131363</v>
      </c>
      <c r="F17" s="116" t="n">
        <v>1</v>
      </c>
      <c r="G17" s="117" t="n">
        <v>131363</v>
      </c>
    </row>
    <row r="18">
      <c r="A18" s="118" t="n"/>
      <c r="B18" s="118" t="n"/>
      <c r="C18" s="118" t="n"/>
      <c r="D18" s="118" t="n"/>
      <c r="E18" s="118" t="n"/>
      <c r="F18" s="119">
        <f>IFERROR(INDEX(SETTINGS!$B$38:$B$40,MATCH(D18,SETTINGS!$A$38:$A$40,0)),1)</f>
        <v/>
      </c>
      <c r="G18" s="120">
        <f>IF(E18="","",E18*F18)</f>
        <v/>
      </c>
    </row>
    <row r="19">
      <c r="A19" s="121" t="n"/>
      <c r="B19" s="121" t="n"/>
      <c r="C19" s="121" t="n"/>
      <c r="D19" s="121" t="n"/>
      <c r="E19" s="121" t="n"/>
      <c r="F19" s="122">
        <f>IFERROR(INDEX(SETTINGS!$B$38:$B$40,MATCH(D19,SETTINGS!$A$38:$A$40,0)),1)</f>
        <v/>
      </c>
      <c r="G19" s="123">
        <f>IF(E19="","",E19*F19)</f>
        <v/>
      </c>
    </row>
    <row r="20">
      <c r="A20" s="118" t="n"/>
      <c r="B20" s="118" t="n"/>
      <c r="C20" s="118" t="n"/>
      <c r="D20" s="118" t="n"/>
      <c r="E20" s="118" t="n"/>
      <c r="F20" s="119">
        <f>IFERROR(INDEX(SETTINGS!$B$38:$B$40,MATCH(D20,SETTINGS!$A$38:$A$40,0)),1)</f>
        <v/>
      </c>
      <c r="G20" s="120">
        <f>IF(E20="","",E20*F20)</f>
        <v/>
      </c>
    </row>
    <row r="21">
      <c r="A21" s="121" t="n"/>
      <c r="B21" s="121" t="n"/>
      <c r="C21" s="121" t="n"/>
      <c r="D21" s="121" t="n"/>
      <c r="E21" s="121" t="n"/>
      <c r="F21" s="122">
        <f>IFERROR(INDEX(SETTINGS!$B$38:$B$40,MATCH(D21,SETTINGS!$A$38:$A$40,0)),1)</f>
        <v/>
      </c>
      <c r="G21" s="123">
        <f>IF(E21="","",E21*F21)</f>
        <v/>
      </c>
    </row>
    <row r="22">
      <c r="A22" s="118" t="n"/>
      <c r="B22" s="118" t="n"/>
      <c r="C22" s="118" t="n"/>
      <c r="D22" s="118" t="n"/>
      <c r="E22" s="118" t="n"/>
      <c r="F22" s="119">
        <f>IFERROR(INDEX(SETTINGS!$B$38:$B$40,MATCH(D22,SETTINGS!$A$38:$A$40,0)),1)</f>
        <v/>
      </c>
      <c r="G22" s="120">
        <f>IF(E22="","",E22*F22)</f>
        <v/>
      </c>
    </row>
    <row r="23">
      <c r="A23" s="121" t="n"/>
      <c r="B23" s="121" t="n"/>
      <c r="C23" s="121" t="n"/>
      <c r="D23" s="121" t="n"/>
      <c r="E23" s="121" t="n"/>
      <c r="F23" s="122">
        <f>IFERROR(INDEX(SETTINGS!$B$38:$B$40,MATCH(D23,SETTINGS!$A$38:$A$40,0)),1)</f>
        <v/>
      </c>
      <c r="G23" s="123">
        <f>IF(E23="","",E23*F23)</f>
        <v/>
      </c>
    </row>
    <row r="24">
      <c r="A24" s="118" t="n"/>
      <c r="B24" s="118" t="n"/>
      <c r="C24" s="118" t="n"/>
      <c r="D24" s="118" t="n"/>
      <c r="E24" s="118" t="n"/>
      <c r="F24" s="119">
        <f>IFERROR(INDEX(SETTINGS!$B$38:$B$40,MATCH(D24,SETTINGS!$A$38:$A$40,0)),1)</f>
        <v/>
      </c>
      <c r="G24" s="120">
        <f>IF(E24="","",E24*F24)</f>
        <v/>
      </c>
    </row>
    <row r="25">
      <c r="A25" s="121" t="n"/>
      <c r="B25" s="121" t="n"/>
      <c r="C25" s="121" t="n"/>
      <c r="D25" s="121" t="n"/>
      <c r="E25" s="121" t="n"/>
      <c r="F25" s="122">
        <f>IFERROR(INDEX(SETTINGS!$B$38:$B$40,MATCH(D25,SETTINGS!$A$38:$A$40,0)),1)</f>
        <v/>
      </c>
      <c r="G25" s="123">
        <f>IF(E25="","",E25*F25)</f>
        <v/>
      </c>
    </row>
    <row r="26">
      <c r="A26" s="118" t="n"/>
      <c r="B26" s="118" t="n"/>
      <c r="C26" s="118" t="n"/>
      <c r="D26" s="118" t="n"/>
      <c r="E26" s="118" t="n"/>
      <c r="F26" s="119">
        <f>IFERROR(INDEX(SETTINGS!$B$38:$B$40,MATCH(D26,SETTINGS!$A$38:$A$40,0)),1)</f>
        <v/>
      </c>
      <c r="G26" s="120">
        <f>IF(E26="","",E26*F26)</f>
        <v/>
      </c>
    </row>
    <row r="27">
      <c r="A27" s="121" t="n"/>
      <c r="B27" s="121" t="n"/>
      <c r="C27" s="121" t="n"/>
      <c r="D27" s="121" t="n"/>
      <c r="E27" s="121" t="n"/>
      <c r="F27" s="122">
        <f>IFERROR(INDEX(SETTINGS!$B$38:$B$40,MATCH(D27,SETTINGS!$A$38:$A$40,0)),1)</f>
        <v/>
      </c>
      <c r="G27" s="123">
        <f>IF(E27="","",E27*F27)</f>
        <v/>
      </c>
    </row>
    <row r="28">
      <c r="A28" s="118" t="n"/>
      <c r="B28" s="118" t="n"/>
      <c r="C28" s="118" t="n"/>
      <c r="D28" s="118" t="n"/>
      <c r="E28" s="118" t="n"/>
      <c r="F28" s="119">
        <f>IFERROR(INDEX(SETTINGS!$B$38:$B$40,MATCH(D28,SETTINGS!$A$38:$A$40,0)),1)</f>
        <v/>
      </c>
      <c r="G28" s="120">
        <f>IF(E28="","",E28*F28)</f>
        <v/>
      </c>
    </row>
    <row r="29">
      <c r="A29" s="121" t="n"/>
      <c r="B29" s="121" t="n"/>
      <c r="C29" s="121" t="n"/>
      <c r="D29" s="121" t="n"/>
      <c r="E29" s="121" t="n"/>
      <c r="F29" s="122">
        <f>IFERROR(INDEX(SETTINGS!$B$38:$B$40,MATCH(D29,SETTINGS!$A$38:$A$40,0)),1)</f>
        <v/>
      </c>
      <c r="G29" s="123">
        <f>IF(E29="","",E29*F29)</f>
        <v/>
      </c>
    </row>
    <row r="30">
      <c r="A30" s="118" t="n"/>
      <c r="B30" s="118" t="n"/>
      <c r="C30" s="118" t="n"/>
      <c r="D30" s="118" t="n"/>
      <c r="E30" s="118" t="n"/>
      <c r="F30" s="119">
        <f>IFERROR(INDEX(SETTINGS!$B$38:$B$40,MATCH(D30,SETTINGS!$A$38:$A$40,0)),1)</f>
        <v/>
      </c>
      <c r="G30" s="120">
        <f>IF(E30="","",E30*F30)</f>
        <v/>
      </c>
    </row>
    <row r="31">
      <c r="A31" s="121" t="n"/>
      <c r="B31" s="121" t="n"/>
      <c r="C31" s="121" t="n"/>
      <c r="D31" s="121" t="n"/>
      <c r="E31" s="121" t="n"/>
      <c r="F31" s="122">
        <f>IFERROR(INDEX(SETTINGS!$B$38:$B$40,MATCH(D31,SETTINGS!$A$38:$A$40,0)),1)</f>
        <v/>
      </c>
      <c r="G31" s="123">
        <f>IF(E31="","",E31*F31)</f>
        <v/>
      </c>
    </row>
    <row r="32">
      <c r="A32" s="118" t="n"/>
      <c r="B32" s="118" t="n"/>
      <c r="C32" s="118" t="n"/>
      <c r="D32" s="118" t="n"/>
      <c r="E32" s="118" t="n"/>
      <c r="F32" s="119">
        <f>IFERROR(INDEX(SETTINGS!$B$38:$B$40,MATCH(D32,SETTINGS!$A$38:$A$40,0)),1)</f>
        <v/>
      </c>
      <c r="G32" s="120">
        <f>IF(E32="","",E32*F32)</f>
        <v/>
      </c>
    </row>
    <row r="33">
      <c r="A33" s="121" t="n"/>
      <c r="B33" s="121" t="n"/>
      <c r="C33" s="121" t="n"/>
      <c r="D33" s="121" t="n"/>
      <c r="E33" s="121" t="n"/>
      <c r="F33" s="122">
        <f>IFERROR(INDEX(SETTINGS!$B$38:$B$40,MATCH(D33,SETTINGS!$A$38:$A$40,0)),1)</f>
        <v/>
      </c>
      <c r="G33" s="123">
        <f>IF(E33="","",E33*F33)</f>
        <v/>
      </c>
    </row>
    <row r="34">
      <c r="A34" s="118" t="n"/>
      <c r="B34" s="118" t="n"/>
      <c r="C34" s="118" t="n"/>
      <c r="D34" s="118" t="n"/>
      <c r="E34" s="118" t="n"/>
      <c r="F34" s="119">
        <f>IFERROR(INDEX(SETTINGS!$B$38:$B$40,MATCH(D34,SETTINGS!$A$38:$A$40,0)),1)</f>
        <v/>
      </c>
      <c r="G34" s="120">
        <f>IF(E34="","",E34*F34)</f>
        <v/>
      </c>
    </row>
    <row r="35">
      <c r="A35" s="121" t="n"/>
      <c r="B35" s="121" t="n"/>
      <c r="C35" s="121" t="n"/>
      <c r="D35" s="121" t="n"/>
      <c r="E35" s="121" t="n"/>
      <c r="F35" s="122">
        <f>IFERROR(INDEX(SETTINGS!$B$38:$B$40,MATCH(D35,SETTINGS!$A$38:$A$40,0)),1)</f>
        <v/>
      </c>
      <c r="G35" s="123">
        <f>IF(E35="","",E35*F35)</f>
        <v/>
      </c>
    </row>
    <row r="36">
      <c r="A36" s="118" t="n"/>
      <c r="B36" s="118" t="n"/>
      <c r="C36" s="118" t="n"/>
      <c r="D36" s="118" t="n"/>
      <c r="E36" s="118" t="n"/>
      <c r="F36" s="119">
        <f>IFERROR(INDEX(SETTINGS!$B$38:$B$40,MATCH(D36,SETTINGS!$A$38:$A$40,0)),1)</f>
        <v/>
      </c>
      <c r="G36" s="120">
        <f>IF(E36="","",E36*F36)</f>
        <v/>
      </c>
    </row>
    <row r="37">
      <c r="A37" s="121" t="n"/>
      <c r="B37" s="121" t="n"/>
      <c r="C37" s="121" t="n"/>
      <c r="D37" s="121" t="n"/>
      <c r="E37" s="121" t="n"/>
      <c r="F37" s="122">
        <f>IFERROR(INDEX(SETTINGS!$B$38:$B$40,MATCH(D37,SETTINGS!$A$38:$A$40,0)),1)</f>
        <v/>
      </c>
      <c r="G37" s="123">
        <f>IF(E37="","",E37*F37)</f>
        <v/>
      </c>
    </row>
    <row r="38">
      <c r="A38" s="118" t="n"/>
      <c r="B38" s="118" t="n"/>
      <c r="C38" s="118" t="n"/>
      <c r="D38" s="118" t="n"/>
      <c r="E38" s="118" t="n"/>
      <c r="F38" s="119">
        <f>IFERROR(INDEX(SETTINGS!$B$38:$B$40,MATCH(D38,SETTINGS!$A$38:$A$40,0)),1)</f>
        <v/>
      </c>
      <c r="G38" s="120">
        <f>IF(E38="","",E38*F38)</f>
        <v/>
      </c>
    </row>
    <row r="39">
      <c r="A39" s="121" t="n"/>
      <c r="B39" s="121" t="n"/>
      <c r="C39" s="121" t="n"/>
      <c r="D39" s="121" t="n"/>
      <c r="E39" s="121" t="n"/>
      <c r="F39" s="122">
        <f>IFERROR(INDEX(SETTINGS!$B$38:$B$40,MATCH(D39,SETTINGS!$A$38:$A$40,0)),1)</f>
        <v/>
      </c>
      <c r="G39" s="123">
        <f>IF(E39="","",E39*F39)</f>
        <v/>
      </c>
    </row>
    <row r="40">
      <c r="A40" s="118" t="n"/>
      <c r="B40" s="118" t="n"/>
      <c r="C40" s="118" t="n"/>
      <c r="D40" s="118" t="n"/>
      <c r="E40" s="118" t="n"/>
      <c r="F40" s="119">
        <f>IFERROR(INDEX(SETTINGS!$B$38:$B$40,MATCH(D40,SETTINGS!$A$38:$A$40,0)),1)</f>
        <v/>
      </c>
      <c r="G40" s="120">
        <f>IF(E40="","",E40*F40)</f>
        <v/>
      </c>
    </row>
    <row r="41">
      <c r="A41" s="121" t="n"/>
      <c r="B41" s="121" t="n"/>
      <c r="C41" s="121" t="n"/>
      <c r="D41" s="121" t="n"/>
      <c r="E41" s="121" t="n"/>
      <c r="F41" s="122">
        <f>IFERROR(INDEX(SETTINGS!$B$38:$B$40,MATCH(D41,SETTINGS!$A$38:$A$40,0)),1)</f>
        <v/>
      </c>
      <c r="G41" s="123">
        <f>IF(E41="","",E41*F41)</f>
        <v/>
      </c>
    </row>
    <row r="42">
      <c r="A42" s="118" t="n"/>
      <c r="B42" s="118" t="n"/>
      <c r="C42" s="118" t="n"/>
      <c r="D42" s="118" t="n"/>
      <c r="E42" s="118" t="n"/>
      <c r="F42" s="119">
        <f>IFERROR(INDEX(SETTINGS!$B$38:$B$40,MATCH(D42,SETTINGS!$A$38:$A$40,0)),1)</f>
        <v/>
      </c>
      <c r="G42" s="120">
        <f>IF(E42="","",E42*F42)</f>
        <v/>
      </c>
    </row>
    <row r="43">
      <c r="A43" s="121" t="n"/>
      <c r="B43" s="121" t="n"/>
      <c r="C43" s="121" t="n"/>
      <c r="D43" s="121" t="n"/>
      <c r="E43" s="121" t="n"/>
      <c r="F43" s="122">
        <f>IFERROR(INDEX(SETTINGS!$B$38:$B$40,MATCH(D43,SETTINGS!$A$38:$A$40,0)),1)</f>
        <v/>
      </c>
      <c r="G43" s="123">
        <f>IF(E43="","",E43*F43)</f>
        <v/>
      </c>
    </row>
    <row r="44">
      <c r="A44" s="118" t="n"/>
      <c r="B44" s="118" t="n"/>
      <c r="C44" s="118" t="n"/>
      <c r="D44" s="118" t="n"/>
      <c r="E44" s="118" t="n"/>
      <c r="F44" s="119">
        <f>IFERROR(INDEX(SETTINGS!$B$38:$B$40,MATCH(D44,SETTINGS!$A$38:$A$40,0)),1)</f>
        <v/>
      </c>
      <c r="G44" s="120">
        <f>IF(E44="","",E44*F44)</f>
        <v/>
      </c>
    </row>
    <row r="45">
      <c r="A45" s="121" t="n"/>
      <c r="B45" s="121" t="n"/>
      <c r="C45" s="121" t="n"/>
      <c r="D45" s="121" t="n"/>
      <c r="E45" s="121" t="n"/>
      <c r="F45" s="122">
        <f>IFERROR(INDEX(SETTINGS!$B$38:$B$40,MATCH(D45,SETTINGS!$A$38:$A$40,0)),1)</f>
        <v/>
      </c>
      <c r="G45" s="123">
        <f>IF(E45="","",E45*F45)</f>
        <v/>
      </c>
    </row>
    <row r="46">
      <c r="A46" s="118" t="n"/>
      <c r="B46" s="118" t="n"/>
      <c r="C46" s="118" t="n"/>
      <c r="D46" s="118" t="n"/>
      <c r="E46" s="118" t="n"/>
      <c r="F46" s="119">
        <f>IFERROR(INDEX(SETTINGS!$B$38:$B$40,MATCH(D46,SETTINGS!$A$38:$A$40,0)),1)</f>
        <v/>
      </c>
      <c r="G46" s="120">
        <f>IF(E46="","",E46*F46)</f>
        <v/>
      </c>
    </row>
    <row r="47">
      <c r="A47" s="121" t="n"/>
      <c r="B47" s="121" t="n"/>
      <c r="C47" s="121" t="n"/>
      <c r="D47" s="121" t="n"/>
      <c r="E47" s="121" t="n"/>
      <c r="F47" s="122">
        <f>IFERROR(INDEX(SETTINGS!$B$38:$B$40,MATCH(D47,SETTINGS!$A$38:$A$40,0)),1)</f>
        <v/>
      </c>
      <c r="G47" s="123">
        <f>IF(E47="","",E47*F47)</f>
        <v/>
      </c>
    </row>
    <row r="48">
      <c r="A48" s="118" t="n"/>
      <c r="B48" s="118" t="n"/>
      <c r="C48" s="118" t="n"/>
      <c r="D48" s="118" t="n"/>
      <c r="E48" s="118" t="n"/>
      <c r="F48" s="119">
        <f>IFERROR(INDEX(SETTINGS!$B$38:$B$40,MATCH(D48,SETTINGS!$A$38:$A$40,0)),1)</f>
        <v/>
      </c>
      <c r="G48" s="120">
        <f>IF(E48="","",E48*F48)</f>
        <v/>
      </c>
    </row>
    <row r="49">
      <c r="A49" s="121" t="n"/>
      <c r="B49" s="121" t="n"/>
      <c r="C49" s="121" t="n"/>
      <c r="D49" s="121" t="n"/>
      <c r="E49" s="121" t="n"/>
      <c r="F49" s="122">
        <f>IFERROR(INDEX(SETTINGS!$B$38:$B$40,MATCH(D49,SETTINGS!$A$38:$A$40,0)),1)</f>
        <v/>
      </c>
      <c r="G49" s="123">
        <f>IF(E49="","",E49*F49)</f>
        <v/>
      </c>
    </row>
    <row r="50">
      <c r="A50" s="118" t="n"/>
      <c r="B50" s="118" t="n"/>
      <c r="C50" s="118" t="n"/>
      <c r="D50" s="118" t="n"/>
      <c r="E50" s="118" t="n"/>
      <c r="F50" s="119">
        <f>IFERROR(INDEX(SETTINGS!$B$38:$B$40,MATCH(D50,SETTINGS!$A$38:$A$40,0)),1)</f>
        <v/>
      </c>
      <c r="G50" s="120">
        <f>IF(E50="","",E50*F50)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BD5E1"/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60" customWidth="1" min="4" max="4"/>
  </cols>
  <sheetData>
    <row r="1" ht="30" customHeight="1">
      <c r="A1" s="110" t="inlineStr">
        <is>
          <t>_AUDIT — Immutable Action Log  (INSERT ONLY — no edits permitted)</t>
        </is>
      </c>
    </row>
    <row r="2">
      <c r="A2" s="23" t="inlineStr">
        <is>
          <t>Timestamp</t>
        </is>
      </c>
      <c r="B2" s="23" t="inlineStr">
        <is>
          <t>User</t>
        </is>
      </c>
      <c r="C2" s="23" t="inlineStr">
        <is>
          <t>Action</t>
        </is>
      </c>
      <c r="D2" s="23" t="inlineStr">
        <is>
          <t>Detail</t>
        </is>
      </c>
    </row>
    <row r="3">
      <c r="A3" s="89" t="inlineStr">
        <is>
          <t>2026-06-01T08:00:00Z</t>
        </is>
      </c>
      <c r="B3" s="89" t="inlineStr">
        <is>
          <t>ashinde</t>
        </is>
      </c>
      <c r="C3" s="124" t="inlineStr">
        <is>
          <t>WORKBOOK_OPENED</t>
        </is>
      </c>
      <c r="D3" s="89" t="inlineStr">
        <is>
          <t>ApolloCAM.xlsx opened — June 2026 seed data</t>
        </is>
      </c>
    </row>
    <row r="4">
      <c r="A4" s="90" t="inlineStr">
        <is>
          <t>2026-06-01T08:01:00Z</t>
        </is>
      </c>
      <c r="B4" s="90" t="inlineStr">
        <is>
          <t>ashinde</t>
        </is>
      </c>
      <c r="C4" s="125" t="inlineStr">
        <is>
          <t>POSITIONS_LOADED</t>
        </is>
      </c>
      <c r="D4" s="90" t="inlineStr">
        <is>
          <t>14 position rows loaded for run_date 2026-06-01</t>
        </is>
      </c>
    </row>
    <row r="5">
      <c r="A5" s="89" t="inlineStr">
        <is>
          <t>2026-06-01T08:02:30Z</t>
        </is>
      </c>
      <c r="B5" s="89" t="inlineStr">
        <is>
          <t>ashinde</t>
        </is>
      </c>
      <c r="C5" s="124" t="inlineStr">
        <is>
          <t>PROPOSALS_RUN</t>
        </is>
      </c>
      <c r="D5" s="89" t="inlineStr">
        <is>
          <t>Wires: 3 | FX: 3 | Batch: B20260601-001</t>
        </is>
      </c>
    </row>
    <row r="6">
      <c r="A6" s="90" t="inlineStr">
        <is>
          <t>2026-06-01T08:03:45Z</t>
        </is>
      </c>
      <c r="B6" s="90" t="inlineStr">
        <is>
          <t>ashinde</t>
        </is>
      </c>
      <c r="C6" s="125" t="inlineStr">
        <is>
          <t>WIRE_APPROVE_ALL</t>
        </is>
      </c>
      <c r="D6" s="90" t="inlineStr">
        <is>
          <t>Bulk approved 3 wire proposals</t>
        </is>
      </c>
    </row>
    <row r="7">
      <c r="A7" s="89" t="inlineStr">
        <is>
          <t>2026-06-01T08:04:10Z</t>
        </is>
      </c>
      <c r="B7" s="89" t="inlineStr">
        <is>
          <t>ashinde</t>
        </is>
      </c>
      <c r="C7" s="124" t="inlineStr">
        <is>
          <t>FX_APPROVE_ALL</t>
        </is>
      </c>
      <c r="D7" s="89" t="inlineStr">
        <is>
          <t>Bulk approved 3 FX proposals</t>
        </is>
      </c>
    </row>
    <row r="8">
      <c r="A8" s="90" t="inlineStr">
        <is>
          <t>2026-06-01T08:05:00Z</t>
        </is>
      </c>
      <c r="B8" s="90" t="inlineStr">
        <is>
          <t>ashinde</t>
        </is>
      </c>
      <c r="C8" s="125" t="inlineStr">
        <is>
          <t>LOADERS_LOCKED</t>
        </is>
      </c>
      <c r="D8" s="90" t="inlineStr">
        <is>
          <t>Loaders sheet locked — Batch B20260601-001</t>
        </is>
      </c>
    </row>
    <row r="9">
      <c r="A9" s="89" t="inlineStr">
        <is>
          <t>2026-06-01T08:06:30Z</t>
        </is>
      </c>
      <c r="B9" s="89" t="inlineStr">
        <is>
          <t>ashinde</t>
        </is>
      </c>
      <c r="C9" s="124" t="inlineStr">
        <is>
          <t>EXPORT_IVP</t>
        </is>
      </c>
      <c r="D9" s="89" t="inlineStr">
        <is>
          <t>IVP file exported: IVP_B20260601-001.xlsx (3 rows)</t>
        </is>
      </c>
    </row>
    <row r="10">
      <c r="A10" s="90" t="inlineStr">
        <is>
          <t>2026-06-01T08:07:00Z</t>
        </is>
      </c>
      <c r="B10" s="90" t="inlineStr">
        <is>
          <t>ashinde</t>
        </is>
      </c>
      <c r="C10" s="125" t="inlineStr">
        <is>
          <t>EXPORT_TRADE</t>
        </is>
      </c>
      <c r="D10" s="90" t="inlineStr">
        <is>
          <t>Trade file exported: Trade_B20260601-001.csv (6 rows)</t>
        </is>
      </c>
    </row>
    <row r="11">
      <c r="A11" s="89" t="inlineStr">
        <is>
          <t>2026-06-01T08:07:30Z</t>
        </is>
      </c>
      <c r="B11" s="89" t="inlineStr">
        <is>
          <t>ashinde</t>
        </is>
      </c>
      <c r="C11" s="124" t="inlineStr">
        <is>
          <t>EXPORT_SPOT</t>
        </is>
      </c>
      <c r="D11" s="89" t="inlineStr">
        <is>
          <t>SpotFX file exported: SpotFX_B20260601-001.xlsx (3 rows)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ApolloCAM Build Script</dc:creator>
  <dc:title>ApolloCAM — Daily Cash Management</dc:title>
  <dc:subject>Apollo AAA Fund Controllership</dc:subject>
  <dcterms:created xsi:type="dcterms:W3CDTF">2026-06-10T06:35:07Z</dcterms:created>
  <dcterms:modified xsi:type="dcterms:W3CDTF">2026-06-10T06:35:08Z</dcterms:modified>
  <cp:keywords>ApolloCAM; cash management; AAA funds; Apollo</cp:keywords>
</cp:coreProperties>
</file>